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len\Downloads\"/>
    </mc:Choice>
  </mc:AlternateContent>
  <xr:revisionPtr revIDLastSave="0" documentId="8_{CA96C900-C8A0-4058-A965-F30E7E016FB4}" xr6:coauthVersionLast="47" xr6:coauthVersionMax="47" xr10:uidLastSave="{00000000-0000-0000-0000-000000000000}"/>
  <bookViews>
    <workbookView xWindow="-103" yWindow="-103" windowWidth="22149" windowHeight="13200" firstSheet="4" activeTab="10" xr2:uid="{2C754D5C-B567-4365-83B5-128F40518D3A}"/>
  </bookViews>
  <sheets>
    <sheet name="README" sheetId="12" r:id="rId1"/>
    <sheet name="Assumptions" sheetId="2" r:id="rId2"/>
    <sheet name="Rep_month" sheetId="1" r:id="rId3"/>
    <sheet name="Sales and margins" sheetId="4" r:id="rId4"/>
    <sheet name="Commissions" sheetId="6" r:id="rId5"/>
    <sheet name="Overpay" sheetId="3" r:id="rId6"/>
    <sheet name="Quota" sheetId="8" r:id="rId7"/>
    <sheet name="Cliff exposure" sheetId="7" r:id="rId8"/>
    <sheet name="Scenarios" sheetId="9" r:id="rId9"/>
    <sheet name="Checks" sheetId="10" r:id="rId10"/>
    <sheet name="Charts" sheetId="13" r:id="rId11"/>
  </sheets>
  <definedNames>
    <definedName name="margin_rate">Assumptions!$B$1</definedName>
    <definedName name="max_rate">Assumptions!$K$1</definedName>
    <definedName name="region">Assumptions!$J$11:$J$14</definedName>
    <definedName name="seeding">Assumptions!$K$11:$K$14</definedName>
    <definedName name="step">Assumptions!$E$12:$E$16</definedName>
    <definedName name="target">Assumptions!$K$5</definedName>
    <definedName name="tier_floor">Assumptions!$A$12:$A$16</definedName>
    <definedName name="tier_rate">Assumptions!$D$12:$D$16</definedName>
    <definedName name="warning_level">Assumptions!$K$2</definedName>
    <definedName name="Within_reach">Assumptions!$B$19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3" l="1"/>
  <c r="L8" i="13"/>
  <c r="L7" i="13"/>
  <c r="L6" i="13"/>
  <c r="L5" i="13"/>
  <c r="O25" i="13"/>
  <c r="O26" i="13"/>
  <c r="O27" i="13"/>
  <c r="O28" i="13"/>
  <c r="O24" i="13"/>
  <c r="E10" i="10"/>
  <c r="E9" i="10"/>
  <c r="E12" i="2"/>
  <c r="E13" i="2"/>
  <c r="E15" i="2"/>
  <c r="E16" i="2"/>
  <c r="E14" i="2"/>
  <c r="C4" i="10"/>
  <c r="F4" i="10" s="1"/>
  <c r="G4" i="10" s="1"/>
  <c r="C5" i="10"/>
  <c r="F5" i="10" s="1"/>
  <c r="G5" i="10" s="1"/>
  <c r="E8" i="10"/>
  <c r="A4" i="8"/>
  <c r="N4" i="8"/>
  <c r="H4" i="8"/>
  <c r="F4" i="8"/>
  <c r="E4" i="8"/>
  <c r="D4" i="8"/>
  <c r="C4" i="8"/>
  <c r="B5" i="8"/>
  <c r="A5" i="8" s="1"/>
  <c r="A5" i="7"/>
  <c r="A4" i="7"/>
  <c r="A3" i="7"/>
  <c r="A2" i="7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M47" i="13" l="1"/>
  <c r="M46" i="13"/>
  <c r="M45" i="13"/>
  <c r="M44" i="13"/>
  <c r="M43" i="13"/>
  <c r="B13" i="9"/>
  <c r="L24" i="13" s="1"/>
  <c r="B16" i="6"/>
  <c r="B17" i="6"/>
  <c r="B13" i="6"/>
  <c r="B13" i="4"/>
  <c r="B17" i="4" s="1"/>
  <c r="B5" i="7"/>
  <c r="C5" i="7"/>
  <c r="B4" i="7"/>
  <c r="C4" i="7"/>
  <c r="B3" i="7"/>
  <c r="C3" i="7"/>
  <c r="B2" i="7"/>
  <c r="C2" i="7"/>
  <c r="F5" i="7"/>
  <c r="E5" i="7"/>
  <c r="D5" i="7"/>
  <c r="F4" i="7"/>
  <c r="E4" i="7"/>
  <c r="D4" i="7"/>
  <c r="F3" i="7"/>
  <c r="E3" i="7"/>
  <c r="D3" i="7"/>
  <c r="F2" i="7"/>
  <c r="E2" i="7"/>
  <c r="D2" i="7"/>
  <c r="B3" i="9"/>
  <c r="C6" i="9"/>
  <c r="B16" i="9"/>
  <c r="L27" i="13" s="1"/>
  <c r="C7" i="9"/>
  <c r="B4" i="9"/>
  <c r="B6" i="9"/>
  <c r="B17" i="9"/>
  <c r="L28" i="13" s="1"/>
  <c r="B7" i="9"/>
  <c r="B5" i="9"/>
  <c r="K1141" i="1"/>
  <c r="L1141" i="1" s="1"/>
  <c r="M1141" i="1" s="1"/>
  <c r="K2" i="1"/>
  <c r="L2" i="1" s="1"/>
  <c r="M2" i="1" s="1"/>
  <c r="K3" i="1"/>
  <c r="L3" i="1" s="1"/>
  <c r="M3" i="1" s="1"/>
  <c r="K4" i="1"/>
  <c r="L4" i="1" s="1"/>
  <c r="M4" i="1" s="1"/>
  <c r="K5" i="1"/>
  <c r="L5" i="1" s="1"/>
  <c r="M5" i="1" s="1"/>
  <c r="K6" i="1"/>
  <c r="L6" i="1" s="1"/>
  <c r="M6" i="1" s="1"/>
  <c r="K7" i="1"/>
  <c r="L7" i="1" s="1"/>
  <c r="M7" i="1" s="1"/>
  <c r="K8" i="1"/>
  <c r="L8" i="1" s="1"/>
  <c r="M8" i="1" s="1"/>
  <c r="K9" i="1"/>
  <c r="L9" i="1" s="1"/>
  <c r="M9" i="1" s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18" i="1"/>
  <c r="L18" i="1" s="1"/>
  <c r="M18" i="1" s="1"/>
  <c r="K19" i="1"/>
  <c r="L19" i="1" s="1"/>
  <c r="M19" i="1" s="1"/>
  <c r="K20" i="1"/>
  <c r="L20" i="1" s="1"/>
  <c r="M20" i="1" s="1"/>
  <c r="K21" i="1"/>
  <c r="L21" i="1" s="1"/>
  <c r="M21" i="1" s="1"/>
  <c r="K22" i="1"/>
  <c r="L22" i="1" s="1"/>
  <c r="M22" i="1" s="1"/>
  <c r="K23" i="1"/>
  <c r="L23" i="1" s="1"/>
  <c r="M23" i="1" s="1"/>
  <c r="K24" i="1"/>
  <c r="L24" i="1" s="1"/>
  <c r="M24" i="1" s="1"/>
  <c r="K25" i="1"/>
  <c r="L25" i="1" s="1"/>
  <c r="M25" i="1" s="1"/>
  <c r="K26" i="1"/>
  <c r="L26" i="1" s="1"/>
  <c r="M26" i="1" s="1"/>
  <c r="K27" i="1"/>
  <c r="L27" i="1" s="1"/>
  <c r="M27" i="1" s="1"/>
  <c r="K28" i="1"/>
  <c r="L28" i="1" s="1"/>
  <c r="M28" i="1" s="1"/>
  <c r="K29" i="1"/>
  <c r="L29" i="1" s="1"/>
  <c r="M29" i="1" s="1"/>
  <c r="K30" i="1"/>
  <c r="L30" i="1" s="1"/>
  <c r="M30" i="1" s="1"/>
  <c r="K31" i="1"/>
  <c r="L31" i="1" s="1"/>
  <c r="M31" i="1" s="1"/>
  <c r="K32" i="1"/>
  <c r="L32" i="1" s="1"/>
  <c r="M32" i="1" s="1"/>
  <c r="K33" i="1"/>
  <c r="L33" i="1" s="1"/>
  <c r="M33" i="1" s="1"/>
  <c r="K34" i="1"/>
  <c r="L34" i="1" s="1"/>
  <c r="M34" i="1" s="1"/>
  <c r="K35" i="1"/>
  <c r="L35" i="1" s="1"/>
  <c r="M35" i="1" s="1"/>
  <c r="K36" i="1"/>
  <c r="L36" i="1" s="1"/>
  <c r="M36" i="1" s="1"/>
  <c r="K37" i="1"/>
  <c r="L37" i="1" s="1"/>
  <c r="M37" i="1" s="1"/>
  <c r="K38" i="1"/>
  <c r="L38" i="1" s="1"/>
  <c r="M38" i="1" s="1"/>
  <c r="K39" i="1"/>
  <c r="L39" i="1" s="1"/>
  <c r="M39" i="1" s="1"/>
  <c r="K40" i="1"/>
  <c r="L40" i="1" s="1"/>
  <c r="M40" i="1" s="1"/>
  <c r="K41" i="1"/>
  <c r="L41" i="1" s="1"/>
  <c r="M41" i="1" s="1"/>
  <c r="K42" i="1"/>
  <c r="L42" i="1" s="1"/>
  <c r="M42" i="1" s="1"/>
  <c r="K43" i="1"/>
  <c r="L43" i="1" s="1"/>
  <c r="M43" i="1" s="1"/>
  <c r="K44" i="1"/>
  <c r="L44" i="1" s="1"/>
  <c r="M44" i="1" s="1"/>
  <c r="K45" i="1"/>
  <c r="L45" i="1" s="1"/>
  <c r="M45" i="1" s="1"/>
  <c r="K46" i="1"/>
  <c r="L46" i="1" s="1"/>
  <c r="M46" i="1" s="1"/>
  <c r="K47" i="1"/>
  <c r="L47" i="1" s="1"/>
  <c r="M47" i="1" s="1"/>
  <c r="K48" i="1"/>
  <c r="L48" i="1" s="1"/>
  <c r="M48" i="1" s="1"/>
  <c r="K49" i="1"/>
  <c r="L49" i="1" s="1"/>
  <c r="M49" i="1" s="1"/>
  <c r="K50" i="1"/>
  <c r="L50" i="1" s="1"/>
  <c r="M50" i="1" s="1"/>
  <c r="K51" i="1"/>
  <c r="L51" i="1" s="1"/>
  <c r="M51" i="1" s="1"/>
  <c r="K52" i="1"/>
  <c r="L52" i="1" s="1"/>
  <c r="M52" i="1" s="1"/>
  <c r="K53" i="1"/>
  <c r="L53" i="1" s="1"/>
  <c r="M53" i="1" s="1"/>
  <c r="K54" i="1"/>
  <c r="L54" i="1" s="1"/>
  <c r="M54" i="1" s="1"/>
  <c r="K55" i="1"/>
  <c r="L55" i="1" s="1"/>
  <c r="M55" i="1" s="1"/>
  <c r="K56" i="1"/>
  <c r="L56" i="1" s="1"/>
  <c r="M56" i="1" s="1"/>
  <c r="K57" i="1"/>
  <c r="L57" i="1" s="1"/>
  <c r="M57" i="1" s="1"/>
  <c r="K58" i="1"/>
  <c r="L58" i="1" s="1"/>
  <c r="M58" i="1" s="1"/>
  <c r="K59" i="1"/>
  <c r="L59" i="1" s="1"/>
  <c r="M59" i="1" s="1"/>
  <c r="K60" i="1"/>
  <c r="L60" i="1" s="1"/>
  <c r="M60" i="1" s="1"/>
  <c r="K61" i="1"/>
  <c r="L61" i="1" s="1"/>
  <c r="M61" i="1" s="1"/>
  <c r="K62" i="1"/>
  <c r="L62" i="1" s="1"/>
  <c r="M62" i="1" s="1"/>
  <c r="K63" i="1"/>
  <c r="L63" i="1" s="1"/>
  <c r="M63" i="1" s="1"/>
  <c r="K64" i="1"/>
  <c r="L64" i="1" s="1"/>
  <c r="M64" i="1" s="1"/>
  <c r="K65" i="1"/>
  <c r="L65" i="1" s="1"/>
  <c r="M65" i="1" s="1"/>
  <c r="K66" i="1"/>
  <c r="L66" i="1" s="1"/>
  <c r="M66" i="1" s="1"/>
  <c r="K67" i="1"/>
  <c r="L67" i="1" s="1"/>
  <c r="M67" i="1" s="1"/>
  <c r="K68" i="1"/>
  <c r="L68" i="1" s="1"/>
  <c r="M68" i="1" s="1"/>
  <c r="K69" i="1"/>
  <c r="L69" i="1" s="1"/>
  <c r="M69" i="1" s="1"/>
  <c r="K70" i="1"/>
  <c r="L70" i="1" s="1"/>
  <c r="M70" i="1" s="1"/>
  <c r="K71" i="1"/>
  <c r="L71" i="1" s="1"/>
  <c r="M71" i="1" s="1"/>
  <c r="K72" i="1"/>
  <c r="L72" i="1" s="1"/>
  <c r="M72" i="1" s="1"/>
  <c r="K73" i="1"/>
  <c r="L73" i="1" s="1"/>
  <c r="M73" i="1" s="1"/>
  <c r="K74" i="1"/>
  <c r="L74" i="1" s="1"/>
  <c r="M74" i="1" s="1"/>
  <c r="K75" i="1"/>
  <c r="L75" i="1" s="1"/>
  <c r="M75" i="1" s="1"/>
  <c r="K76" i="1"/>
  <c r="L76" i="1" s="1"/>
  <c r="M76" i="1" s="1"/>
  <c r="K77" i="1"/>
  <c r="L77" i="1" s="1"/>
  <c r="M77" i="1" s="1"/>
  <c r="K78" i="1"/>
  <c r="L78" i="1" s="1"/>
  <c r="M78" i="1" s="1"/>
  <c r="K79" i="1"/>
  <c r="L79" i="1" s="1"/>
  <c r="M79" i="1" s="1"/>
  <c r="K80" i="1"/>
  <c r="L80" i="1" s="1"/>
  <c r="M80" i="1" s="1"/>
  <c r="K81" i="1"/>
  <c r="L81" i="1" s="1"/>
  <c r="M81" i="1" s="1"/>
  <c r="K82" i="1"/>
  <c r="L82" i="1" s="1"/>
  <c r="M82" i="1" s="1"/>
  <c r="K83" i="1"/>
  <c r="L83" i="1" s="1"/>
  <c r="M83" i="1" s="1"/>
  <c r="K84" i="1"/>
  <c r="L84" i="1" s="1"/>
  <c r="M84" i="1" s="1"/>
  <c r="K85" i="1"/>
  <c r="L85" i="1" s="1"/>
  <c r="M85" i="1" s="1"/>
  <c r="K86" i="1"/>
  <c r="L86" i="1" s="1"/>
  <c r="M86" i="1" s="1"/>
  <c r="K87" i="1"/>
  <c r="L87" i="1" s="1"/>
  <c r="M87" i="1" s="1"/>
  <c r="K88" i="1"/>
  <c r="L88" i="1" s="1"/>
  <c r="M88" i="1" s="1"/>
  <c r="K89" i="1"/>
  <c r="L89" i="1" s="1"/>
  <c r="M89" i="1" s="1"/>
  <c r="K90" i="1"/>
  <c r="L90" i="1" s="1"/>
  <c r="M90" i="1" s="1"/>
  <c r="K91" i="1"/>
  <c r="L91" i="1" s="1"/>
  <c r="M91" i="1" s="1"/>
  <c r="K92" i="1"/>
  <c r="L92" i="1" s="1"/>
  <c r="M92" i="1" s="1"/>
  <c r="K93" i="1"/>
  <c r="L93" i="1" s="1"/>
  <c r="M93" i="1" s="1"/>
  <c r="K94" i="1"/>
  <c r="L94" i="1" s="1"/>
  <c r="M94" i="1" s="1"/>
  <c r="K95" i="1"/>
  <c r="L95" i="1" s="1"/>
  <c r="M95" i="1" s="1"/>
  <c r="K96" i="1"/>
  <c r="L96" i="1" s="1"/>
  <c r="M96" i="1" s="1"/>
  <c r="K97" i="1"/>
  <c r="L97" i="1" s="1"/>
  <c r="M97" i="1" s="1"/>
  <c r="K98" i="1"/>
  <c r="L98" i="1" s="1"/>
  <c r="M98" i="1" s="1"/>
  <c r="K99" i="1"/>
  <c r="L99" i="1" s="1"/>
  <c r="M99" i="1" s="1"/>
  <c r="K100" i="1"/>
  <c r="L100" i="1" s="1"/>
  <c r="M100" i="1" s="1"/>
  <c r="K101" i="1"/>
  <c r="L101" i="1" s="1"/>
  <c r="M101" i="1" s="1"/>
  <c r="K102" i="1"/>
  <c r="L102" i="1" s="1"/>
  <c r="M102" i="1" s="1"/>
  <c r="K103" i="1"/>
  <c r="L103" i="1" s="1"/>
  <c r="M103" i="1" s="1"/>
  <c r="K104" i="1"/>
  <c r="L104" i="1" s="1"/>
  <c r="M104" i="1" s="1"/>
  <c r="K105" i="1"/>
  <c r="L105" i="1" s="1"/>
  <c r="M105" i="1" s="1"/>
  <c r="K106" i="1"/>
  <c r="L106" i="1" s="1"/>
  <c r="M106" i="1" s="1"/>
  <c r="K107" i="1"/>
  <c r="L107" i="1" s="1"/>
  <c r="M107" i="1" s="1"/>
  <c r="K108" i="1"/>
  <c r="L108" i="1" s="1"/>
  <c r="M108" i="1" s="1"/>
  <c r="K109" i="1"/>
  <c r="L109" i="1" s="1"/>
  <c r="M109" i="1" s="1"/>
  <c r="K110" i="1"/>
  <c r="L110" i="1" s="1"/>
  <c r="M110" i="1" s="1"/>
  <c r="K111" i="1"/>
  <c r="L111" i="1" s="1"/>
  <c r="M111" i="1" s="1"/>
  <c r="K112" i="1"/>
  <c r="L112" i="1" s="1"/>
  <c r="M112" i="1" s="1"/>
  <c r="K113" i="1"/>
  <c r="L113" i="1" s="1"/>
  <c r="M113" i="1" s="1"/>
  <c r="K114" i="1"/>
  <c r="L114" i="1" s="1"/>
  <c r="M114" i="1" s="1"/>
  <c r="K115" i="1"/>
  <c r="L115" i="1" s="1"/>
  <c r="M115" i="1" s="1"/>
  <c r="K116" i="1"/>
  <c r="L116" i="1" s="1"/>
  <c r="M116" i="1" s="1"/>
  <c r="K117" i="1"/>
  <c r="L117" i="1" s="1"/>
  <c r="M117" i="1" s="1"/>
  <c r="K118" i="1"/>
  <c r="L118" i="1" s="1"/>
  <c r="M118" i="1" s="1"/>
  <c r="K119" i="1"/>
  <c r="L119" i="1" s="1"/>
  <c r="M119" i="1" s="1"/>
  <c r="K120" i="1"/>
  <c r="L120" i="1" s="1"/>
  <c r="M120" i="1" s="1"/>
  <c r="K121" i="1"/>
  <c r="L121" i="1" s="1"/>
  <c r="M121" i="1" s="1"/>
  <c r="K122" i="1"/>
  <c r="L122" i="1" s="1"/>
  <c r="M122" i="1" s="1"/>
  <c r="K123" i="1"/>
  <c r="L123" i="1" s="1"/>
  <c r="M123" i="1" s="1"/>
  <c r="K124" i="1"/>
  <c r="L124" i="1" s="1"/>
  <c r="M124" i="1" s="1"/>
  <c r="K125" i="1"/>
  <c r="L125" i="1" s="1"/>
  <c r="M125" i="1" s="1"/>
  <c r="K126" i="1"/>
  <c r="L126" i="1" s="1"/>
  <c r="M126" i="1" s="1"/>
  <c r="K127" i="1"/>
  <c r="L127" i="1" s="1"/>
  <c r="M127" i="1" s="1"/>
  <c r="K128" i="1"/>
  <c r="L128" i="1" s="1"/>
  <c r="M128" i="1" s="1"/>
  <c r="K129" i="1"/>
  <c r="L129" i="1" s="1"/>
  <c r="M129" i="1" s="1"/>
  <c r="K130" i="1"/>
  <c r="L130" i="1" s="1"/>
  <c r="M130" i="1" s="1"/>
  <c r="K131" i="1"/>
  <c r="L131" i="1" s="1"/>
  <c r="M131" i="1" s="1"/>
  <c r="K132" i="1"/>
  <c r="L132" i="1" s="1"/>
  <c r="M132" i="1" s="1"/>
  <c r="K133" i="1"/>
  <c r="L133" i="1" s="1"/>
  <c r="M133" i="1" s="1"/>
  <c r="K134" i="1"/>
  <c r="L134" i="1" s="1"/>
  <c r="M134" i="1" s="1"/>
  <c r="K135" i="1"/>
  <c r="L135" i="1" s="1"/>
  <c r="M135" i="1" s="1"/>
  <c r="K136" i="1"/>
  <c r="L136" i="1" s="1"/>
  <c r="M136" i="1" s="1"/>
  <c r="K137" i="1"/>
  <c r="L137" i="1" s="1"/>
  <c r="M137" i="1" s="1"/>
  <c r="K138" i="1"/>
  <c r="L138" i="1" s="1"/>
  <c r="M138" i="1" s="1"/>
  <c r="K139" i="1"/>
  <c r="L139" i="1" s="1"/>
  <c r="M139" i="1" s="1"/>
  <c r="K140" i="1"/>
  <c r="L140" i="1" s="1"/>
  <c r="M140" i="1" s="1"/>
  <c r="K141" i="1"/>
  <c r="L141" i="1" s="1"/>
  <c r="M141" i="1" s="1"/>
  <c r="K142" i="1"/>
  <c r="L142" i="1" s="1"/>
  <c r="M142" i="1" s="1"/>
  <c r="K143" i="1"/>
  <c r="L143" i="1" s="1"/>
  <c r="M143" i="1" s="1"/>
  <c r="K144" i="1"/>
  <c r="L144" i="1" s="1"/>
  <c r="M144" i="1" s="1"/>
  <c r="K145" i="1"/>
  <c r="L145" i="1" s="1"/>
  <c r="M145" i="1" s="1"/>
  <c r="K146" i="1"/>
  <c r="L146" i="1" s="1"/>
  <c r="M146" i="1" s="1"/>
  <c r="K147" i="1"/>
  <c r="L147" i="1" s="1"/>
  <c r="M147" i="1" s="1"/>
  <c r="K148" i="1"/>
  <c r="L148" i="1" s="1"/>
  <c r="M148" i="1" s="1"/>
  <c r="K149" i="1"/>
  <c r="L149" i="1" s="1"/>
  <c r="M149" i="1" s="1"/>
  <c r="K150" i="1"/>
  <c r="L150" i="1" s="1"/>
  <c r="M150" i="1" s="1"/>
  <c r="K151" i="1"/>
  <c r="L151" i="1" s="1"/>
  <c r="M151" i="1" s="1"/>
  <c r="K152" i="1"/>
  <c r="L152" i="1" s="1"/>
  <c r="M152" i="1" s="1"/>
  <c r="K153" i="1"/>
  <c r="L153" i="1" s="1"/>
  <c r="M153" i="1" s="1"/>
  <c r="K154" i="1"/>
  <c r="L154" i="1" s="1"/>
  <c r="M154" i="1" s="1"/>
  <c r="K155" i="1"/>
  <c r="L155" i="1" s="1"/>
  <c r="M155" i="1" s="1"/>
  <c r="K156" i="1"/>
  <c r="L156" i="1" s="1"/>
  <c r="M156" i="1" s="1"/>
  <c r="K157" i="1"/>
  <c r="L157" i="1" s="1"/>
  <c r="M157" i="1" s="1"/>
  <c r="K158" i="1"/>
  <c r="L158" i="1" s="1"/>
  <c r="M158" i="1" s="1"/>
  <c r="K159" i="1"/>
  <c r="L159" i="1" s="1"/>
  <c r="M159" i="1" s="1"/>
  <c r="K160" i="1"/>
  <c r="L160" i="1" s="1"/>
  <c r="M160" i="1" s="1"/>
  <c r="K161" i="1"/>
  <c r="L161" i="1" s="1"/>
  <c r="M161" i="1" s="1"/>
  <c r="K162" i="1"/>
  <c r="L162" i="1" s="1"/>
  <c r="M162" i="1" s="1"/>
  <c r="K163" i="1"/>
  <c r="L163" i="1" s="1"/>
  <c r="M163" i="1" s="1"/>
  <c r="K164" i="1"/>
  <c r="L164" i="1" s="1"/>
  <c r="M164" i="1" s="1"/>
  <c r="K165" i="1"/>
  <c r="L165" i="1" s="1"/>
  <c r="M165" i="1" s="1"/>
  <c r="K166" i="1"/>
  <c r="L166" i="1" s="1"/>
  <c r="M166" i="1" s="1"/>
  <c r="K167" i="1"/>
  <c r="L167" i="1" s="1"/>
  <c r="M167" i="1" s="1"/>
  <c r="K168" i="1"/>
  <c r="L168" i="1" s="1"/>
  <c r="M168" i="1" s="1"/>
  <c r="K169" i="1"/>
  <c r="L169" i="1" s="1"/>
  <c r="M169" i="1" s="1"/>
  <c r="K170" i="1"/>
  <c r="L170" i="1" s="1"/>
  <c r="M170" i="1" s="1"/>
  <c r="K171" i="1"/>
  <c r="L171" i="1" s="1"/>
  <c r="M171" i="1" s="1"/>
  <c r="K172" i="1"/>
  <c r="L172" i="1" s="1"/>
  <c r="M172" i="1" s="1"/>
  <c r="K173" i="1"/>
  <c r="L173" i="1" s="1"/>
  <c r="M173" i="1" s="1"/>
  <c r="K174" i="1"/>
  <c r="L174" i="1" s="1"/>
  <c r="M174" i="1" s="1"/>
  <c r="K175" i="1"/>
  <c r="L175" i="1" s="1"/>
  <c r="M175" i="1" s="1"/>
  <c r="K176" i="1"/>
  <c r="L176" i="1" s="1"/>
  <c r="M176" i="1" s="1"/>
  <c r="K177" i="1"/>
  <c r="L177" i="1" s="1"/>
  <c r="M177" i="1" s="1"/>
  <c r="K178" i="1"/>
  <c r="L178" i="1" s="1"/>
  <c r="M178" i="1" s="1"/>
  <c r="K179" i="1"/>
  <c r="L179" i="1" s="1"/>
  <c r="M179" i="1" s="1"/>
  <c r="K180" i="1"/>
  <c r="L180" i="1" s="1"/>
  <c r="M180" i="1" s="1"/>
  <c r="K181" i="1"/>
  <c r="L181" i="1" s="1"/>
  <c r="M181" i="1" s="1"/>
  <c r="K182" i="1"/>
  <c r="L182" i="1" s="1"/>
  <c r="M182" i="1" s="1"/>
  <c r="K183" i="1"/>
  <c r="L183" i="1" s="1"/>
  <c r="M183" i="1" s="1"/>
  <c r="K184" i="1"/>
  <c r="L184" i="1" s="1"/>
  <c r="M184" i="1" s="1"/>
  <c r="K185" i="1"/>
  <c r="L185" i="1" s="1"/>
  <c r="M185" i="1" s="1"/>
  <c r="K186" i="1"/>
  <c r="L186" i="1" s="1"/>
  <c r="M186" i="1" s="1"/>
  <c r="K187" i="1"/>
  <c r="L187" i="1" s="1"/>
  <c r="M187" i="1" s="1"/>
  <c r="K188" i="1"/>
  <c r="L188" i="1" s="1"/>
  <c r="M188" i="1" s="1"/>
  <c r="K189" i="1"/>
  <c r="L189" i="1" s="1"/>
  <c r="M189" i="1" s="1"/>
  <c r="K190" i="1"/>
  <c r="L190" i="1" s="1"/>
  <c r="M190" i="1" s="1"/>
  <c r="K191" i="1"/>
  <c r="L191" i="1" s="1"/>
  <c r="M191" i="1" s="1"/>
  <c r="K192" i="1"/>
  <c r="L192" i="1" s="1"/>
  <c r="M192" i="1" s="1"/>
  <c r="K193" i="1"/>
  <c r="L193" i="1" s="1"/>
  <c r="M193" i="1" s="1"/>
  <c r="K194" i="1"/>
  <c r="L194" i="1" s="1"/>
  <c r="M194" i="1" s="1"/>
  <c r="K195" i="1"/>
  <c r="L195" i="1" s="1"/>
  <c r="M195" i="1" s="1"/>
  <c r="K196" i="1"/>
  <c r="L196" i="1" s="1"/>
  <c r="M196" i="1" s="1"/>
  <c r="K197" i="1"/>
  <c r="L197" i="1" s="1"/>
  <c r="M197" i="1" s="1"/>
  <c r="K198" i="1"/>
  <c r="L198" i="1" s="1"/>
  <c r="M198" i="1" s="1"/>
  <c r="K199" i="1"/>
  <c r="L199" i="1" s="1"/>
  <c r="M199" i="1" s="1"/>
  <c r="K200" i="1"/>
  <c r="L200" i="1" s="1"/>
  <c r="M200" i="1" s="1"/>
  <c r="K201" i="1"/>
  <c r="L201" i="1" s="1"/>
  <c r="M201" i="1" s="1"/>
  <c r="K202" i="1"/>
  <c r="L202" i="1" s="1"/>
  <c r="M202" i="1" s="1"/>
  <c r="K203" i="1"/>
  <c r="L203" i="1" s="1"/>
  <c r="M203" i="1" s="1"/>
  <c r="K204" i="1"/>
  <c r="L204" i="1" s="1"/>
  <c r="M204" i="1" s="1"/>
  <c r="K205" i="1"/>
  <c r="L205" i="1" s="1"/>
  <c r="M205" i="1" s="1"/>
  <c r="K206" i="1"/>
  <c r="L206" i="1" s="1"/>
  <c r="M206" i="1" s="1"/>
  <c r="K207" i="1"/>
  <c r="L207" i="1" s="1"/>
  <c r="M207" i="1" s="1"/>
  <c r="K208" i="1"/>
  <c r="L208" i="1" s="1"/>
  <c r="M208" i="1" s="1"/>
  <c r="K209" i="1"/>
  <c r="L209" i="1" s="1"/>
  <c r="M209" i="1" s="1"/>
  <c r="K210" i="1"/>
  <c r="L210" i="1" s="1"/>
  <c r="M210" i="1" s="1"/>
  <c r="K211" i="1"/>
  <c r="L211" i="1" s="1"/>
  <c r="M211" i="1" s="1"/>
  <c r="K212" i="1"/>
  <c r="L212" i="1" s="1"/>
  <c r="M212" i="1" s="1"/>
  <c r="K213" i="1"/>
  <c r="L213" i="1" s="1"/>
  <c r="M213" i="1" s="1"/>
  <c r="K214" i="1"/>
  <c r="L214" i="1" s="1"/>
  <c r="M214" i="1" s="1"/>
  <c r="K215" i="1"/>
  <c r="L215" i="1" s="1"/>
  <c r="M215" i="1" s="1"/>
  <c r="K216" i="1"/>
  <c r="L216" i="1" s="1"/>
  <c r="M216" i="1" s="1"/>
  <c r="K217" i="1"/>
  <c r="L217" i="1" s="1"/>
  <c r="M217" i="1" s="1"/>
  <c r="K218" i="1"/>
  <c r="L218" i="1" s="1"/>
  <c r="M218" i="1" s="1"/>
  <c r="K219" i="1"/>
  <c r="L219" i="1" s="1"/>
  <c r="M219" i="1" s="1"/>
  <c r="K220" i="1"/>
  <c r="L220" i="1" s="1"/>
  <c r="M220" i="1" s="1"/>
  <c r="K221" i="1"/>
  <c r="L221" i="1" s="1"/>
  <c r="M221" i="1" s="1"/>
  <c r="K222" i="1"/>
  <c r="L222" i="1" s="1"/>
  <c r="M222" i="1" s="1"/>
  <c r="K223" i="1"/>
  <c r="L223" i="1" s="1"/>
  <c r="M223" i="1" s="1"/>
  <c r="K224" i="1"/>
  <c r="L224" i="1" s="1"/>
  <c r="M224" i="1" s="1"/>
  <c r="K225" i="1"/>
  <c r="L225" i="1" s="1"/>
  <c r="M225" i="1" s="1"/>
  <c r="K226" i="1"/>
  <c r="L226" i="1" s="1"/>
  <c r="M226" i="1" s="1"/>
  <c r="K227" i="1"/>
  <c r="L227" i="1" s="1"/>
  <c r="M227" i="1" s="1"/>
  <c r="K228" i="1"/>
  <c r="L228" i="1" s="1"/>
  <c r="M228" i="1" s="1"/>
  <c r="K229" i="1"/>
  <c r="L229" i="1" s="1"/>
  <c r="M229" i="1" s="1"/>
  <c r="K230" i="1"/>
  <c r="L230" i="1" s="1"/>
  <c r="M230" i="1" s="1"/>
  <c r="K231" i="1"/>
  <c r="L231" i="1" s="1"/>
  <c r="M231" i="1" s="1"/>
  <c r="K232" i="1"/>
  <c r="L232" i="1" s="1"/>
  <c r="M232" i="1" s="1"/>
  <c r="K233" i="1"/>
  <c r="L233" i="1" s="1"/>
  <c r="M233" i="1" s="1"/>
  <c r="K234" i="1"/>
  <c r="L234" i="1" s="1"/>
  <c r="M234" i="1" s="1"/>
  <c r="K235" i="1"/>
  <c r="L235" i="1" s="1"/>
  <c r="M235" i="1" s="1"/>
  <c r="K236" i="1"/>
  <c r="L236" i="1" s="1"/>
  <c r="M236" i="1" s="1"/>
  <c r="K237" i="1"/>
  <c r="L237" i="1" s="1"/>
  <c r="M237" i="1" s="1"/>
  <c r="K238" i="1"/>
  <c r="L238" i="1" s="1"/>
  <c r="M238" i="1" s="1"/>
  <c r="K239" i="1"/>
  <c r="L239" i="1" s="1"/>
  <c r="M239" i="1" s="1"/>
  <c r="K240" i="1"/>
  <c r="L240" i="1" s="1"/>
  <c r="M240" i="1" s="1"/>
  <c r="K241" i="1"/>
  <c r="L241" i="1" s="1"/>
  <c r="M241" i="1" s="1"/>
  <c r="K242" i="1"/>
  <c r="L242" i="1" s="1"/>
  <c r="M242" i="1" s="1"/>
  <c r="K243" i="1"/>
  <c r="L243" i="1" s="1"/>
  <c r="M243" i="1" s="1"/>
  <c r="K244" i="1"/>
  <c r="L244" i="1" s="1"/>
  <c r="M244" i="1" s="1"/>
  <c r="K245" i="1"/>
  <c r="L245" i="1" s="1"/>
  <c r="M245" i="1" s="1"/>
  <c r="K246" i="1"/>
  <c r="L246" i="1" s="1"/>
  <c r="M246" i="1" s="1"/>
  <c r="K247" i="1"/>
  <c r="L247" i="1" s="1"/>
  <c r="M247" i="1" s="1"/>
  <c r="K248" i="1"/>
  <c r="L248" i="1" s="1"/>
  <c r="M248" i="1" s="1"/>
  <c r="K249" i="1"/>
  <c r="L249" i="1" s="1"/>
  <c r="M249" i="1" s="1"/>
  <c r="K250" i="1"/>
  <c r="L250" i="1" s="1"/>
  <c r="M250" i="1" s="1"/>
  <c r="K251" i="1"/>
  <c r="L251" i="1" s="1"/>
  <c r="M251" i="1" s="1"/>
  <c r="K252" i="1"/>
  <c r="L252" i="1" s="1"/>
  <c r="M252" i="1" s="1"/>
  <c r="K253" i="1"/>
  <c r="L253" i="1" s="1"/>
  <c r="M253" i="1" s="1"/>
  <c r="K254" i="1"/>
  <c r="L254" i="1" s="1"/>
  <c r="M254" i="1" s="1"/>
  <c r="K255" i="1"/>
  <c r="L255" i="1" s="1"/>
  <c r="M255" i="1" s="1"/>
  <c r="K256" i="1"/>
  <c r="L256" i="1" s="1"/>
  <c r="M256" i="1" s="1"/>
  <c r="K257" i="1"/>
  <c r="L257" i="1" s="1"/>
  <c r="M257" i="1" s="1"/>
  <c r="K258" i="1"/>
  <c r="L258" i="1" s="1"/>
  <c r="M258" i="1" s="1"/>
  <c r="K259" i="1"/>
  <c r="L259" i="1" s="1"/>
  <c r="M259" i="1" s="1"/>
  <c r="K260" i="1"/>
  <c r="L260" i="1" s="1"/>
  <c r="M260" i="1" s="1"/>
  <c r="K261" i="1"/>
  <c r="L261" i="1" s="1"/>
  <c r="M261" i="1" s="1"/>
  <c r="K262" i="1"/>
  <c r="L262" i="1" s="1"/>
  <c r="M262" i="1" s="1"/>
  <c r="K263" i="1"/>
  <c r="L263" i="1" s="1"/>
  <c r="M263" i="1" s="1"/>
  <c r="K264" i="1"/>
  <c r="L264" i="1" s="1"/>
  <c r="M264" i="1" s="1"/>
  <c r="K265" i="1"/>
  <c r="L265" i="1" s="1"/>
  <c r="M265" i="1" s="1"/>
  <c r="K266" i="1"/>
  <c r="L266" i="1" s="1"/>
  <c r="M266" i="1" s="1"/>
  <c r="K267" i="1"/>
  <c r="L267" i="1" s="1"/>
  <c r="M267" i="1" s="1"/>
  <c r="K268" i="1"/>
  <c r="L268" i="1" s="1"/>
  <c r="M268" i="1" s="1"/>
  <c r="K269" i="1"/>
  <c r="L269" i="1" s="1"/>
  <c r="M269" i="1" s="1"/>
  <c r="K270" i="1"/>
  <c r="L270" i="1" s="1"/>
  <c r="M270" i="1" s="1"/>
  <c r="K271" i="1"/>
  <c r="L271" i="1" s="1"/>
  <c r="M271" i="1" s="1"/>
  <c r="K272" i="1"/>
  <c r="L272" i="1" s="1"/>
  <c r="M272" i="1" s="1"/>
  <c r="K273" i="1"/>
  <c r="L273" i="1" s="1"/>
  <c r="M273" i="1" s="1"/>
  <c r="K274" i="1"/>
  <c r="L274" i="1" s="1"/>
  <c r="M274" i="1" s="1"/>
  <c r="K275" i="1"/>
  <c r="L275" i="1" s="1"/>
  <c r="M275" i="1" s="1"/>
  <c r="K276" i="1"/>
  <c r="L276" i="1" s="1"/>
  <c r="M276" i="1" s="1"/>
  <c r="K277" i="1"/>
  <c r="L277" i="1" s="1"/>
  <c r="M277" i="1" s="1"/>
  <c r="K278" i="1"/>
  <c r="L278" i="1" s="1"/>
  <c r="M278" i="1" s="1"/>
  <c r="K279" i="1"/>
  <c r="L279" i="1" s="1"/>
  <c r="M279" i="1" s="1"/>
  <c r="K280" i="1"/>
  <c r="L280" i="1" s="1"/>
  <c r="M280" i="1" s="1"/>
  <c r="K281" i="1"/>
  <c r="L281" i="1" s="1"/>
  <c r="M281" i="1" s="1"/>
  <c r="K282" i="1"/>
  <c r="L282" i="1" s="1"/>
  <c r="M282" i="1" s="1"/>
  <c r="K283" i="1"/>
  <c r="L283" i="1" s="1"/>
  <c r="M283" i="1" s="1"/>
  <c r="K284" i="1"/>
  <c r="L284" i="1" s="1"/>
  <c r="M284" i="1" s="1"/>
  <c r="K285" i="1"/>
  <c r="L285" i="1" s="1"/>
  <c r="M285" i="1" s="1"/>
  <c r="K286" i="1"/>
  <c r="L286" i="1" s="1"/>
  <c r="M286" i="1" s="1"/>
  <c r="K287" i="1"/>
  <c r="L287" i="1" s="1"/>
  <c r="M287" i="1" s="1"/>
  <c r="K288" i="1"/>
  <c r="L288" i="1" s="1"/>
  <c r="M288" i="1" s="1"/>
  <c r="K289" i="1"/>
  <c r="L289" i="1" s="1"/>
  <c r="M289" i="1" s="1"/>
  <c r="K290" i="1"/>
  <c r="L290" i="1" s="1"/>
  <c r="M290" i="1" s="1"/>
  <c r="K291" i="1"/>
  <c r="L291" i="1" s="1"/>
  <c r="M291" i="1" s="1"/>
  <c r="K1093" i="1"/>
  <c r="L1093" i="1" s="1"/>
  <c r="M1093" i="1" s="1"/>
  <c r="K1095" i="1"/>
  <c r="L1095" i="1" s="1"/>
  <c r="M1095" i="1" s="1"/>
  <c r="K1096" i="1"/>
  <c r="L1096" i="1" s="1"/>
  <c r="M1096" i="1" s="1"/>
  <c r="K1098" i="1"/>
  <c r="L1098" i="1" s="1"/>
  <c r="M1098" i="1" s="1"/>
  <c r="K1100" i="1"/>
  <c r="L1100" i="1" s="1"/>
  <c r="M1100" i="1" s="1"/>
  <c r="K1101" i="1"/>
  <c r="L1101" i="1" s="1"/>
  <c r="M1101" i="1" s="1"/>
  <c r="K1103" i="1"/>
  <c r="L1103" i="1" s="1"/>
  <c r="M1103" i="1" s="1"/>
  <c r="K1105" i="1"/>
  <c r="L1105" i="1" s="1"/>
  <c r="M1105" i="1" s="1"/>
  <c r="K1108" i="1"/>
  <c r="L1108" i="1" s="1"/>
  <c r="M1108" i="1" s="1"/>
  <c r="K1110" i="1"/>
  <c r="L1110" i="1" s="1"/>
  <c r="M1110" i="1" s="1"/>
  <c r="K1112" i="1"/>
  <c r="L1112" i="1" s="1"/>
  <c r="M1112" i="1" s="1"/>
  <c r="K1115" i="1"/>
  <c r="L1115" i="1" s="1"/>
  <c r="M1115" i="1" s="1"/>
  <c r="K1117" i="1"/>
  <c r="L1117" i="1" s="1"/>
  <c r="M1117" i="1" s="1"/>
  <c r="K1120" i="1"/>
  <c r="L1120" i="1" s="1"/>
  <c r="M1120" i="1" s="1"/>
  <c r="K1122" i="1"/>
  <c r="L1122" i="1" s="1"/>
  <c r="M1122" i="1" s="1"/>
  <c r="K1125" i="1"/>
  <c r="L1125" i="1" s="1"/>
  <c r="M1125" i="1" s="1"/>
  <c r="K1127" i="1"/>
  <c r="L1127" i="1" s="1"/>
  <c r="M1127" i="1" s="1"/>
  <c r="K1130" i="1"/>
  <c r="L1130" i="1" s="1"/>
  <c r="M1130" i="1" s="1"/>
  <c r="K1134" i="1"/>
  <c r="L1134" i="1" s="1"/>
  <c r="M1134" i="1" s="1"/>
  <c r="K1138" i="1"/>
  <c r="L1138" i="1" s="1"/>
  <c r="M1138" i="1" s="1"/>
  <c r="K1142" i="1"/>
  <c r="L1142" i="1" s="1"/>
  <c r="M1142" i="1" s="1"/>
  <c r="K1145" i="1"/>
  <c r="L1145" i="1" s="1"/>
  <c r="M1145" i="1" s="1"/>
  <c r="K1147" i="1"/>
  <c r="L1147" i="1" s="1"/>
  <c r="M1147" i="1" s="1"/>
  <c r="K1150" i="1"/>
  <c r="L1150" i="1" s="1"/>
  <c r="M1150" i="1" s="1"/>
  <c r="K1152" i="1"/>
  <c r="L1152" i="1" s="1"/>
  <c r="M1152" i="1" s="1"/>
  <c r="K1153" i="1"/>
  <c r="L1153" i="1" s="1"/>
  <c r="M1153" i="1" s="1"/>
  <c r="K1155" i="1"/>
  <c r="L1155" i="1" s="1"/>
  <c r="M1155" i="1" s="1"/>
  <c r="K1157" i="1"/>
  <c r="L1157" i="1" s="1"/>
  <c r="M1157" i="1" s="1"/>
  <c r="K1161" i="1"/>
  <c r="L1161" i="1" s="1"/>
  <c r="M1161" i="1" s="1"/>
  <c r="K1163" i="1"/>
  <c r="L1163" i="1" s="1"/>
  <c r="M1163" i="1" s="1"/>
  <c r="K1167" i="1"/>
  <c r="L1167" i="1" s="1"/>
  <c r="M1167" i="1" s="1"/>
  <c r="K1169" i="1"/>
  <c r="L1169" i="1" s="1"/>
  <c r="M1169" i="1" s="1"/>
  <c r="K1173" i="1"/>
  <c r="L1173" i="1" s="1"/>
  <c r="M1173" i="1" s="1"/>
  <c r="K1177" i="1"/>
  <c r="L1177" i="1" s="1"/>
  <c r="M1177" i="1" s="1"/>
  <c r="K1180" i="1"/>
  <c r="L1180" i="1" s="1"/>
  <c r="M1180" i="1" s="1"/>
  <c r="K1184" i="1"/>
  <c r="L1184" i="1" s="1"/>
  <c r="M1184" i="1" s="1"/>
  <c r="K1188" i="1"/>
  <c r="L1188" i="1" s="1"/>
  <c r="M1188" i="1" s="1"/>
  <c r="K1192" i="1"/>
  <c r="L1192" i="1" s="1"/>
  <c r="M1192" i="1" s="1"/>
  <c r="K1195" i="1"/>
  <c r="L1195" i="1" s="1"/>
  <c r="M1195" i="1" s="1"/>
  <c r="K292" i="1"/>
  <c r="L292" i="1" s="1"/>
  <c r="M292" i="1" s="1"/>
  <c r="K293" i="1"/>
  <c r="L293" i="1" s="1"/>
  <c r="M293" i="1" s="1"/>
  <c r="K294" i="1"/>
  <c r="L294" i="1" s="1"/>
  <c r="M294" i="1" s="1"/>
  <c r="K295" i="1"/>
  <c r="L295" i="1" s="1"/>
  <c r="M295" i="1" s="1"/>
  <c r="K296" i="1"/>
  <c r="L296" i="1" s="1"/>
  <c r="M296" i="1" s="1"/>
  <c r="K297" i="1"/>
  <c r="L297" i="1" s="1"/>
  <c r="M297" i="1" s="1"/>
  <c r="K298" i="1"/>
  <c r="L298" i="1" s="1"/>
  <c r="M298" i="1" s="1"/>
  <c r="K299" i="1"/>
  <c r="L299" i="1" s="1"/>
  <c r="M299" i="1" s="1"/>
  <c r="K300" i="1"/>
  <c r="L300" i="1" s="1"/>
  <c r="M300" i="1" s="1"/>
  <c r="K301" i="1"/>
  <c r="L301" i="1" s="1"/>
  <c r="M301" i="1" s="1"/>
  <c r="K302" i="1"/>
  <c r="L302" i="1" s="1"/>
  <c r="M302" i="1" s="1"/>
  <c r="K303" i="1"/>
  <c r="L303" i="1" s="1"/>
  <c r="M303" i="1" s="1"/>
  <c r="K304" i="1"/>
  <c r="L304" i="1" s="1"/>
  <c r="M304" i="1" s="1"/>
  <c r="K305" i="1"/>
  <c r="L305" i="1" s="1"/>
  <c r="M305" i="1" s="1"/>
  <c r="K306" i="1"/>
  <c r="L306" i="1" s="1"/>
  <c r="M306" i="1" s="1"/>
  <c r="K307" i="1"/>
  <c r="L307" i="1" s="1"/>
  <c r="M307" i="1" s="1"/>
  <c r="K308" i="1"/>
  <c r="L308" i="1" s="1"/>
  <c r="M308" i="1" s="1"/>
  <c r="K309" i="1"/>
  <c r="L309" i="1" s="1"/>
  <c r="M309" i="1" s="1"/>
  <c r="K310" i="1"/>
  <c r="L310" i="1" s="1"/>
  <c r="M310" i="1" s="1"/>
  <c r="K311" i="1"/>
  <c r="L311" i="1" s="1"/>
  <c r="M311" i="1" s="1"/>
  <c r="K312" i="1"/>
  <c r="L312" i="1" s="1"/>
  <c r="M312" i="1" s="1"/>
  <c r="K313" i="1"/>
  <c r="L313" i="1" s="1"/>
  <c r="M313" i="1" s="1"/>
  <c r="K314" i="1"/>
  <c r="L314" i="1" s="1"/>
  <c r="M314" i="1" s="1"/>
  <c r="K315" i="1"/>
  <c r="L315" i="1" s="1"/>
  <c r="M315" i="1" s="1"/>
  <c r="K316" i="1"/>
  <c r="L316" i="1" s="1"/>
  <c r="M316" i="1" s="1"/>
  <c r="K317" i="1"/>
  <c r="L317" i="1" s="1"/>
  <c r="M317" i="1" s="1"/>
  <c r="K318" i="1"/>
  <c r="L318" i="1" s="1"/>
  <c r="M318" i="1" s="1"/>
  <c r="K319" i="1"/>
  <c r="L319" i="1" s="1"/>
  <c r="M319" i="1" s="1"/>
  <c r="K320" i="1"/>
  <c r="L320" i="1" s="1"/>
  <c r="M320" i="1" s="1"/>
  <c r="K321" i="1"/>
  <c r="L321" i="1" s="1"/>
  <c r="M321" i="1" s="1"/>
  <c r="K322" i="1"/>
  <c r="L322" i="1" s="1"/>
  <c r="M322" i="1" s="1"/>
  <c r="K323" i="1"/>
  <c r="L323" i="1" s="1"/>
  <c r="M323" i="1" s="1"/>
  <c r="K324" i="1"/>
  <c r="L324" i="1" s="1"/>
  <c r="M324" i="1" s="1"/>
  <c r="K325" i="1"/>
  <c r="L325" i="1" s="1"/>
  <c r="M325" i="1" s="1"/>
  <c r="K326" i="1"/>
  <c r="L326" i="1" s="1"/>
  <c r="M326" i="1" s="1"/>
  <c r="K327" i="1"/>
  <c r="L327" i="1" s="1"/>
  <c r="M327" i="1" s="1"/>
  <c r="K328" i="1"/>
  <c r="L328" i="1" s="1"/>
  <c r="M328" i="1" s="1"/>
  <c r="K329" i="1"/>
  <c r="L329" i="1" s="1"/>
  <c r="M329" i="1" s="1"/>
  <c r="K330" i="1"/>
  <c r="L330" i="1" s="1"/>
  <c r="M330" i="1" s="1"/>
  <c r="K331" i="1"/>
  <c r="L331" i="1" s="1"/>
  <c r="M331" i="1" s="1"/>
  <c r="K332" i="1"/>
  <c r="L332" i="1" s="1"/>
  <c r="M332" i="1" s="1"/>
  <c r="K333" i="1"/>
  <c r="L333" i="1" s="1"/>
  <c r="M333" i="1" s="1"/>
  <c r="K334" i="1"/>
  <c r="L334" i="1" s="1"/>
  <c r="M334" i="1" s="1"/>
  <c r="K335" i="1"/>
  <c r="L335" i="1" s="1"/>
  <c r="M335" i="1" s="1"/>
  <c r="K336" i="1"/>
  <c r="L336" i="1" s="1"/>
  <c r="M336" i="1" s="1"/>
  <c r="K337" i="1"/>
  <c r="L337" i="1" s="1"/>
  <c r="M337" i="1" s="1"/>
  <c r="K338" i="1"/>
  <c r="L338" i="1" s="1"/>
  <c r="M338" i="1" s="1"/>
  <c r="K339" i="1"/>
  <c r="L339" i="1" s="1"/>
  <c r="M339" i="1" s="1"/>
  <c r="K340" i="1"/>
  <c r="L340" i="1" s="1"/>
  <c r="M340" i="1" s="1"/>
  <c r="K341" i="1"/>
  <c r="L341" i="1" s="1"/>
  <c r="M341" i="1" s="1"/>
  <c r="K342" i="1"/>
  <c r="L342" i="1" s="1"/>
  <c r="M342" i="1" s="1"/>
  <c r="K343" i="1"/>
  <c r="L343" i="1" s="1"/>
  <c r="M343" i="1" s="1"/>
  <c r="K344" i="1"/>
  <c r="L344" i="1" s="1"/>
  <c r="M344" i="1" s="1"/>
  <c r="K345" i="1"/>
  <c r="L345" i="1" s="1"/>
  <c r="M345" i="1" s="1"/>
  <c r="K346" i="1"/>
  <c r="L346" i="1" s="1"/>
  <c r="M346" i="1" s="1"/>
  <c r="K347" i="1"/>
  <c r="L347" i="1" s="1"/>
  <c r="M347" i="1" s="1"/>
  <c r="K348" i="1"/>
  <c r="L348" i="1" s="1"/>
  <c r="M348" i="1" s="1"/>
  <c r="K349" i="1"/>
  <c r="L349" i="1" s="1"/>
  <c r="M349" i="1" s="1"/>
  <c r="K350" i="1"/>
  <c r="L350" i="1" s="1"/>
  <c r="M350" i="1" s="1"/>
  <c r="K351" i="1"/>
  <c r="L351" i="1" s="1"/>
  <c r="M351" i="1" s="1"/>
  <c r="K352" i="1"/>
  <c r="L352" i="1" s="1"/>
  <c r="M352" i="1" s="1"/>
  <c r="K353" i="1"/>
  <c r="L353" i="1" s="1"/>
  <c r="M353" i="1" s="1"/>
  <c r="K354" i="1"/>
  <c r="L354" i="1" s="1"/>
  <c r="M354" i="1" s="1"/>
  <c r="K355" i="1"/>
  <c r="L355" i="1" s="1"/>
  <c r="M355" i="1" s="1"/>
  <c r="K356" i="1"/>
  <c r="L356" i="1" s="1"/>
  <c r="M356" i="1" s="1"/>
  <c r="K357" i="1"/>
  <c r="L357" i="1" s="1"/>
  <c r="M357" i="1" s="1"/>
  <c r="K358" i="1"/>
  <c r="L358" i="1" s="1"/>
  <c r="M358" i="1" s="1"/>
  <c r="K359" i="1"/>
  <c r="L359" i="1" s="1"/>
  <c r="M359" i="1" s="1"/>
  <c r="K360" i="1"/>
  <c r="L360" i="1" s="1"/>
  <c r="M360" i="1" s="1"/>
  <c r="K361" i="1"/>
  <c r="L361" i="1" s="1"/>
  <c r="M361" i="1" s="1"/>
  <c r="K362" i="1"/>
  <c r="L362" i="1" s="1"/>
  <c r="M362" i="1" s="1"/>
  <c r="K363" i="1"/>
  <c r="L363" i="1" s="1"/>
  <c r="M363" i="1" s="1"/>
  <c r="K364" i="1"/>
  <c r="L364" i="1" s="1"/>
  <c r="M364" i="1" s="1"/>
  <c r="K365" i="1"/>
  <c r="L365" i="1" s="1"/>
  <c r="M365" i="1" s="1"/>
  <c r="K366" i="1"/>
  <c r="L366" i="1" s="1"/>
  <c r="M366" i="1" s="1"/>
  <c r="K367" i="1"/>
  <c r="L367" i="1" s="1"/>
  <c r="M367" i="1" s="1"/>
  <c r="K368" i="1"/>
  <c r="L368" i="1" s="1"/>
  <c r="M368" i="1" s="1"/>
  <c r="K369" i="1"/>
  <c r="L369" i="1" s="1"/>
  <c r="M369" i="1" s="1"/>
  <c r="K370" i="1"/>
  <c r="L370" i="1" s="1"/>
  <c r="M370" i="1" s="1"/>
  <c r="K371" i="1"/>
  <c r="L371" i="1" s="1"/>
  <c r="M371" i="1" s="1"/>
  <c r="K372" i="1"/>
  <c r="L372" i="1" s="1"/>
  <c r="M372" i="1" s="1"/>
  <c r="K373" i="1"/>
  <c r="L373" i="1" s="1"/>
  <c r="M373" i="1" s="1"/>
  <c r="K374" i="1"/>
  <c r="L374" i="1" s="1"/>
  <c r="M374" i="1" s="1"/>
  <c r="K375" i="1"/>
  <c r="L375" i="1" s="1"/>
  <c r="M375" i="1" s="1"/>
  <c r="K376" i="1"/>
  <c r="L376" i="1" s="1"/>
  <c r="M376" i="1" s="1"/>
  <c r="K377" i="1"/>
  <c r="L377" i="1" s="1"/>
  <c r="M377" i="1" s="1"/>
  <c r="K378" i="1"/>
  <c r="L378" i="1" s="1"/>
  <c r="M378" i="1" s="1"/>
  <c r="K379" i="1"/>
  <c r="L379" i="1" s="1"/>
  <c r="M379" i="1" s="1"/>
  <c r="K380" i="1"/>
  <c r="L380" i="1" s="1"/>
  <c r="M380" i="1" s="1"/>
  <c r="K381" i="1"/>
  <c r="L381" i="1" s="1"/>
  <c r="M381" i="1" s="1"/>
  <c r="K382" i="1"/>
  <c r="L382" i="1" s="1"/>
  <c r="M382" i="1" s="1"/>
  <c r="K383" i="1"/>
  <c r="L383" i="1" s="1"/>
  <c r="M383" i="1" s="1"/>
  <c r="K384" i="1"/>
  <c r="L384" i="1" s="1"/>
  <c r="M384" i="1" s="1"/>
  <c r="K385" i="1"/>
  <c r="L385" i="1" s="1"/>
  <c r="M385" i="1" s="1"/>
  <c r="K386" i="1"/>
  <c r="L386" i="1" s="1"/>
  <c r="M386" i="1" s="1"/>
  <c r="K387" i="1"/>
  <c r="L387" i="1" s="1"/>
  <c r="M387" i="1" s="1"/>
  <c r="K388" i="1"/>
  <c r="L388" i="1" s="1"/>
  <c r="M388" i="1" s="1"/>
  <c r="K389" i="1"/>
  <c r="L389" i="1" s="1"/>
  <c r="M389" i="1" s="1"/>
  <c r="K390" i="1"/>
  <c r="L390" i="1" s="1"/>
  <c r="M390" i="1" s="1"/>
  <c r="K391" i="1"/>
  <c r="L391" i="1" s="1"/>
  <c r="M391" i="1" s="1"/>
  <c r="K392" i="1"/>
  <c r="L392" i="1" s="1"/>
  <c r="M392" i="1" s="1"/>
  <c r="K393" i="1"/>
  <c r="L393" i="1" s="1"/>
  <c r="M393" i="1" s="1"/>
  <c r="K394" i="1"/>
  <c r="L394" i="1" s="1"/>
  <c r="M394" i="1" s="1"/>
  <c r="K395" i="1"/>
  <c r="L395" i="1" s="1"/>
  <c r="M395" i="1" s="1"/>
  <c r="K396" i="1"/>
  <c r="L396" i="1" s="1"/>
  <c r="M396" i="1" s="1"/>
  <c r="K397" i="1"/>
  <c r="L397" i="1" s="1"/>
  <c r="M397" i="1" s="1"/>
  <c r="K398" i="1"/>
  <c r="L398" i="1" s="1"/>
  <c r="M398" i="1" s="1"/>
  <c r="K399" i="1"/>
  <c r="L399" i="1" s="1"/>
  <c r="M399" i="1" s="1"/>
  <c r="K400" i="1"/>
  <c r="L400" i="1" s="1"/>
  <c r="M400" i="1" s="1"/>
  <c r="K401" i="1"/>
  <c r="L401" i="1" s="1"/>
  <c r="M401" i="1" s="1"/>
  <c r="K402" i="1"/>
  <c r="L402" i="1" s="1"/>
  <c r="M402" i="1" s="1"/>
  <c r="K403" i="1"/>
  <c r="L403" i="1" s="1"/>
  <c r="M403" i="1" s="1"/>
  <c r="K404" i="1"/>
  <c r="L404" i="1" s="1"/>
  <c r="M404" i="1" s="1"/>
  <c r="K405" i="1"/>
  <c r="L405" i="1" s="1"/>
  <c r="M405" i="1" s="1"/>
  <c r="K406" i="1"/>
  <c r="L406" i="1" s="1"/>
  <c r="M406" i="1" s="1"/>
  <c r="K407" i="1"/>
  <c r="L407" i="1" s="1"/>
  <c r="M407" i="1" s="1"/>
  <c r="K408" i="1"/>
  <c r="L408" i="1" s="1"/>
  <c r="M408" i="1" s="1"/>
  <c r="K409" i="1"/>
  <c r="L409" i="1" s="1"/>
  <c r="M409" i="1" s="1"/>
  <c r="K410" i="1"/>
  <c r="L410" i="1" s="1"/>
  <c r="M410" i="1" s="1"/>
  <c r="K411" i="1"/>
  <c r="L411" i="1" s="1"/>
  <c r="M411" i="1" s="1"/>
  <c r="K412" i="1"/>
  <c r="L412" i="1" s="1"/>
  <c r="M412" i="1" s="1"/>
  <c r="K413" i="1"/>
  <c r="L413" i="1" s="1"/>
  <c r="M413" i="1" s="1"/>
  <c r="K414" i="1"/>
  <c r="L414" i="1" s="1"/>
  <c r="M414" i="1" s="1"/>
  <c r="K415" i="1"/>
  <c r="L415" i="1" s="1"/>
  <c r="M415" i="1" s="1"/>
  <c r="K416" i="1"/>
  <c r="L416" i="1" s="1"/>
  <c r="M416" i="1" s="1"/>
  <c r="K417" i="1"/>
  <c r="L417" i="1" s="1"/>
  <c r="M417" i="1" s="1"/>
  <c r="K418" i="1"/>
  <c r="L418" i="1" s="1"/>
  <c r="M418" i="1" s="1"/>
  <c r="K419" i="1"/>
  <c r="L419" i="1" s="1"/>
  <c r="M419" i="1" s="1"/>
  <c r="K420" i="1"/>
  <c r="L420" i="1" s="1"/>
  <c r="M420" i="1" s="1"/>
  <c r="K421" i="1"/>
  <c r="L421" i="1" s="1"/>
  <c r="M421" i="1" s="1"/>
  <c r="K422" i="1"/>
  <c r="L422" i="1" s="1"/>
  <c r="M422" i="1" s="1"/>
  <c r="K423" i="1"/>
  <c r="L423" i="1" s="1"/>
  <c r="M423" i="1" s="1"/>
  <c r="K424" i="1"/>
  <c r="L424" i="1" s="1"/>
  <c r="M424" i="1" s="1"/>
  <c r="K425" i="1"/>
  <c r="L425" i="1" s="1"/>
  <c r="M425" i="1" s="1"/>
  <c r="K426" i="1"/>
  <c r="L426" i="1" s="1"/>
  <c r="M426" i="1" s="1"/>
  <c r="K427" i="1"/>
  <c r="L427" i="1" s="1"/>
  <c r="M427" i="1" s="1"/>
  <c r="K428" i="1"/>
  <c r="L428" i="1" s="1"/>
  <c r="M428" i="1" s="1"/>
  <c r="K429" i="1"/>
  <c r="L429" i="1" s="1"/>
  <c r="M429" i="1" s="1"/>
  <c r="K430" i="1"/>
  <c r="L430" i="1" s="1"/>
  <c r="M430" i="1" s="1"/>
  <c r="K431" i="1"/>
  <c r="L431" i="1" s="1"/>
  <c r="M431" i="1" s="1"/>
  <c r="K432" i="1"/>
  <c r="L432" i="1" s="1"/>
  <c r="M432" i="1" s="1"/>
  <c r="K433" i="1"/>
  <c r="L433" i="1" s="1"/>
  <c r="M433" i="1" s="1"/>
  <c r="K434" i="1"/>
  <c r="L434" i="1" s="1"/>
  <c r="M434" i="1" s="1"/>
  <c r="K435" i="1"/>
  <c r="L435" i="1" s="1"/>
  <c r="M435" i="1" s="1"/>
  <c r="K436" i="1"/>
  <c r="L436" i="1" s="1"/>
  <c r="M436" i="1" s="1"/>
  <c r="K437" i="1"/>
  <c r="L437" i="1" s="1"/>
  <c r="M437" i="1" s="1"/>
  <c r="K438" i="1"/>
  <c r="L438" i="1" s="1"/>
  <c r="M438" i="1" s="1"/>
  <c r="K439" i="1"/>
  <c r="L439" i="1" s="1"/>
  <c r="M439" i="1" s="1"/>
  <c r="K440" i="1"/>
  <c r="L440" i="1" s="1"/>
  <c r="M440" i="1" s="1"/>
  <c r="K441" i="1"/>
  <c r="L441" i="1" s="1"/>
  <c r="M441" i="1" s="1"/>
  <c r="K442" i="1"/>
  <c r="L442" i="1" s="1"/>
  <c r="M442" i="1" s="1"/>
  <c r="K443" i="1"/>
  <c r="L443" i="1" s="1"/>
  <c r="M443" i="1" s="1"/>
  <c r="K444" i="1"/>
  <c r="L444" i="1" s="1"/>
  <c r="M444" i="1" s="1"/>
  <c r="K445" i="1"/>
  <c r="L445" i="1" s="1"/>
  <c r="M445" i="1" s="1"/>
  <c r="K446" i="1"/>
  <c r="L446" i="1" s="1"/>
  <c r="M446" i="1" s="1"/>
  <c r="K447" i="1"/>
  <c r="L447" i="1" s="1"/>
  <c r="M447" i="1" s="1"/>
  <c r="K448" i="1"/>
  <c r="L448" i="1" s="1"/>
  <c r="M448" i="1" s="1"/>
  <c r="K449" i="1"/>
  <c r="L449" i="1" s="1"/>
  <c r="M449" i="1" s="1"/>
  <c r="K450" i="1"/>
  <c r="L450" i="1" s="1"/>
  <c r="M450" i="1" s="1"/>
  <c r="K451" i="1"/>
  <c r="L451" i="1" s="1"/>
  <c r="M451" i="1" s="1"/>
  <c r="K452" i="1"/>
  <c r="L452" i="1" s="1"/>
  <c r="M452" i="1" s="1"/>
  <c r="K453" i="1"/>
  <c r="L453" i="1" s="1"/>
  <c r="M453" i="1" s="1"/>
  <c r="K454" i="1"/>
  <c r="L454" i="1" s="1"/>
  <c r="M454" i="1" s="1"/>
  <c r="K455" i="1"/>
  <c r="L455" i="1" s="1"/>
  <c r="M455" i="1" s="1"/>
  <c r="K456" i="1"/>
  <c r="L456" i="1" s="1"/>
  <c r="M456" i="1" s="1"/>
  <c r="K457" i="1"/>
  <c r="L457" i="1" s="1"/>
  <c r="M457" i="1" s="1"/>
  <c r="K458" i="1"/>
  <c r="L458" i="1" s="1"/>
  <c r="M458" i="1" s="1"/>
  <c r="K459" i="1"/>
  <c r="L459" i="1" s="1"/>
  <c r="M459" i="1" s="1"/>
  <c r="K460" i="1"/>
  <c r="L460" i="1" s="1"/>
  <c r="M460" i="1" s="1"/>
  <c r="K461" i="1"/>
  <c r="L461" i="1" s="1"/>
  <c r="M461" i="1" s="1"/>
  <c r="K462" i="1"/>
  <c r="L462" i="1" s="1"/>
  <c r="M462" i="1" s="1"/>
  <c r="K463" i="1"/>
  <c r="L463" i="1" s="1"/>
  <c r="M463" i="1" s="1"/>
  <c r="K464" i="1"/>
  <c r="L464" i="1" s="1"/>
  <c r="M464" i="1" s="1"/>
  <c r="K465" i="1"/>
  <c r="L465" i="1" s="1"/>
  <c r="M465" i="1" s="1"/>
  <c r="K466" i="1"/>
  <c r="L466" i="1" s="1"/>
  <c r="M466" i="1" s="1"/>
  <c r="K467" i="1"/>
  <c r="L467" i="1" s="1"/>
  <c r="M467" i="1" s="1"/>
  <c r="K468" i="1"/>
  <c r="L468" i="1" s="1"/>
  <c r="M468" i="1" s="1"/>
  <c r="K469" i="1"/>
  <c r="L469" i="1" s="1"/>
  <c r="M469" i="1" s="1"/>
  <c r="K470" i="1"/>
  <c r="L470" i="1" s="1"/>
  <c r="M470" i="1" s="1"/>
  <c r="K471" i="1"/>
  <c r="L471" i="1" s="1"/>
  <c r="M471" i="1" s="1"/>
  <c r="K472" i="1"/>
  <c r="L472" i="1" s="1"/>
  <c r="M472" i="1" s="1"/>
  <c r="K473" i="1"/>
  <c r="L473" i="1" s="1"/>
  <c r="M473" i="1" s="1"/>
  <c r="K474" i="1"/>
  <c r="L474" i="1" s="1"/>
  <c r="M474" i="1" s="1"/>
  <c r="K475" i="1"/>
  <c r="L475" i="1" s="1"/>
  <c r="M475" i="1" s="1"/>
  <c r="K476" i="1"/>
  <c r="L476" i="1" s="1"/>
  <c r="M476" i="1" s="1"/>
  <c r="K477" i="1"/>
  <c r="L477" i="1" s="1"/>
  <c r="M477" i="1" s="1"/>
  <c r="K478" i="1"/>
  <c r="L478" i="1" s="1"/>
  <c r="M478" i="1" s="1"/>
  <c r="K479" i="1"/>
  <c r="L479" i="1" s="1"/>
  <c r="M479" i="1" s="1"/>
  <c r="K480" i="1"/>
  <c r="L480" i="1" s="1"/>
  <c r="M480" i="1" s="1"/>
  <c r="K481" i="1"/>
  <c r="L481" i="1" s="1"/>
  <c r="M481" i="1" s="1"/>
  <c r="K482" i="1"/>
  <c r="L482" i="1" s="1"/>
  <c r="M482" i="1" s="1"/>
  <c r="K483" i="1"/>
  <c r="L483" i="1" s="1"/>
  <c r="M483" i="1" s="1"/>
  <c r="K484" i="1"/>
  <c r="L484" i="1" s="1"/>
  <c r="M484" i="1" s="1"/>
  <c r="K485" i="1"/>
  <c r="L485" i="1" s="1"/>
  <c r="M485" i="1" s="1"/>
  <c r="K486" i="1"/>
  <c r="L486" i="1" s="1"/>
  <c r="M486" i="1" s="1"/>
  <c r="K487" i="1"/>
  <c r="L487" i="1" s="1"/>
  <c r="M487" i="1" s="1"/>
  <c r="K488" i="1"/>
  <c r="L488" i="1" s="1"/>
  <c r="M488" i="1" s="1"/>
  <c r="K489" i="1"/>
  <c r="L489" i="1" s="1"/>
  <c r="M489" i="1" s="1"/>
  <c r="K490" i="1"/>
  <c r="L490" i="1" s="1"/>
  <c r="M490" i="1" s="1"/>
  <c r="K491" i="1"/>
  <c r="L491" i="1" s="1"/>
  <c r="M491" i="1" s="1"/>
  <c r="K492" i="1"/>
  <c r="L492" i="1" s="1"/>
  <c r="M492" i="1" s="1"/>
  <c r="K493" i="1"/>
  <c r="L493" i="1" s="1"/>
  <c r="M493" i="1" s="1"/>
  <c r="K494" i="1"/>
  <c r="L494" i="1" s="1"/>
  <c r="M494" i="1" s="1"/>
  <c r="K495" i="1"/>
  <c r="L495" i="1" s="1"/>
  <c r="M495" i="1" s="1"/>
  <c r="K496" i="1"/>
  <c r="L496" i="1" s="1"/>
  <c r="M496" i="1" s="1"/>
  <c r="K497" i="1"/>
  <c r="L497" i="1" s="1"/>
  <c r="M497" i="1" s="1"/>
  <c r="K498" i="1"/>
  <c r="L498" i="1" s="1"/>
  <c r="M498" i="1" s="1"/>
  <c r="K499" i="1"/>
  <c r="L499" i="1" s="1"/>
  <c r="M499" i="1" s="1"/>
  <c r="K500" i="1"/>
  <c r="L500" i="1" s="1"/>
  <c r="M500" i="1" s="1"/>
  <c r="K501" i="1"/>
  <c r="L501" i="1" s="1"/>
  <c r="M501" i="1" s="1"/>
  <c r="K502" i="1"/>
  <c r="L502" i="1" s="1"/>
  <c r="M502" i="1" s="1"/>
  <c r="K503" i="1"/>
  <c r="L503" i="1" s="1"/>
  <c r="M503" i="1" s="1"/>
  <c r="K504" i="1"/>
  <c r="L504" i="1" s="1"/>
  <c r="M504" i="1" s="1"/>
  <c r="K505" i="1"/>
  <c r="L505" i="1" s="1"/>
  <c r="M505" i="1" s="1"/>
  <c r="K506" i="1"/>
  <c r="L506" i="1" s="1"/>
  <c r="M506" i="1" s="1"/>
  <c r="K507" i="1"/>
  <c r="L507" i="1" s="1"/>
  <c r="M507" i="1" s="1"/>
  <c r="K508" i="1"/>
  <c r="L508" i="1" s="1"/>
  <c r="M508" i="1" s="1"/>
  <c r="K509" i="1"/>
  <c r="L509" i="1" s="1"/>
  <c r="M509" i="1" s="1"/>
  <c r="K510" i="1"/>
  <c r="L510" i="1" s="1"/>
  <c r="M510" i="1" s="1"/>
  <c r="K511" i="1"/>
  <c r="L511" i="1" s="1"/>
  <c r="M511" i="1" s="1"/>
  <c r="K512" i="1"/>
  <c r="L512" i="1" s="1"/>
  <c r="M512" i="1" s="1"/>
  <c r="K513" i="1"/>
  <c r="L513" i="1" s="1"/>
  <c r="M513" i="1" s="1"/>
  <c r="K514" i="1"/>
  <c r="L514" i="1" s="1"/>
  <c r="M514" i="1" s="1"/>
  <c r="K515" i="1"/>
  <c r="L515" i="1" s="1"/>
  <c r="M515" i="1" s="1"/>
  <c r="K516" i="1"/>
  <c r="L516" i="1" s="1"/>
  <c r="M516" i="1" s="1"/>
  <c r="K517" i="1"/>
  <c r="L517" i="1" s="1"/>
  <c r="M517" i="1" s="1"/>
  <c r="K518" i="1"/>
  <c r="L518" i="1" s="1"/>
  <c r="M518" i="1" s="1"/>
  <c r="K519" i="1"/>
  <c r="L519" i="1" s="1"/>
  <c r="M519" i="1" s="1"/>
  <c r="K520" i="1"/>
  <c r="L520" i="1" s="1"/>
  <c r="M520" i="1" s="1"/>
  <c r="K521" i="1"/>
  <c r="L521" i="1" s="1"/>
  <c r="M521" i="1" s="1"/>
  <c r="K522" i="1"/>
  <c r="L522" i="1" s="1"/>
  <c r="M522" i="1" s="1"/>
  <c r="K523" i="1"/>
  <c r="L523" i="1" s="1"/>
  <c r="M523" i="1" s="1"/>
  <c r="K524" i="1"/>
  <c r="L524" i="1" s="1"/>
  <c r="M524" i="1" s="1"/>
  <c r="K525" i="1"/>
  <c r="L525" i="1" s="1"/>
  <c r="M525" i="1" s="1"/>
  <c r="K526" i="1"/>
  <c r="L526" i="1" s="1"/>
  <c r="M526" i="1" s="1"/>
  <c r="K527" i="1"/>
  <c r="L527" i="1" s="1"/>
  <c r="M527" i="1" s="1"/>
  <c r="K528" i="1"/>
  <c r="L528" i="1" s="1"/>
  <c r="M528" i="1" s="1"/>
  <c r="K529" i="1"/>
  <c r="L529" i="1" s="1"/>
  <c r="M529" i="1" s="1"/>
  <c r="K530" i="1"/>
  <c r="L530" i="1" s="1"/>
  <c r="M530" i="1" s="1"/>
  <c r="K531" i="1"/>
  <c r="L531" i="1" s="1"/>
  <c r="M531" i="1" s="1"/>
  <c r="K532" i="1"/>
  <c r="L532" i="1" s="1"/>
  <c r="M532" i="1" s="1"/>
  <c r="K533" i="1"/>
  <c r="L533" i="1" s="1"/>
  <c r="M533" i="1" s="1"/>
  <c r="K534" i="1"/>
  <c r="L534" i="1" s="1"/>
  <c r="M534" i="1" s="1"/>
  <c r="K535" i="1"/>
  <c r="L535" i="1" s="1"/>
  <c r="M535" i="1" s="1"/>
  <c r="K536" i="1"/>
  <c r="L536" i="1" s="1"/>
  <c r="M536" i="1" s="1"/>
  <c r="K537" i="1"/>
  <c r="L537" i="1" s="1"/>
  <c r="M537" i="1" s="1"/>
  <c r="K538" i="1"/>
  <c r="L538" i="1" s="1"/>
  <c r="M538" i="1" s="1"/>
  <c r="K539" i="1"/>
  <c r="L539" i="1" s="1"/>
  <c r="M539" i="1" s="1"/>
  <c r="K540" i="1"/>
  <c r="L540" i="1" s="1"/>
  <c r="M540" i="1" s="1"/>
  <c r="K541" i="1"/>
  <c r="L541" i="1" s="1"/>
  <c r="M541" i="1" s="1"/>
  <c r="K542" i="1"/>
  <c r="L542" i="1" s="1"/>
  <c r="M542" i="1" s="1"/>
  <c r="K543" i="1"/>
  <c r="L543" i="1" s="1"/>
  <c r="M543" i="1" s="1"/>
  <c r="K544" i="1"/>
  <c r="L544" i="1" s="1"/>
  <c r="M544" i="1" s="1"/>
  <c r="K545" i="1"/>
  <c r="L545" i="1" s="1"/>
  <c r="M545" i="1" s="1"/>
  <c r="K546" i="1"/>
  <c r="L546" i="1" s="1"/>
  <c r="M546" i="1" s="1"/>
  <c r="K547" i="1"/>
  <c r="L547" i="1" s="1"/>
  <c r="M547" i="1" s="1"/>
  <c r="K548" i="1"/>
  <c r="L548" i="1" s="1"/>
  <c r="M548" i="1" s="1"/>
  <c r="K549" i="1"/>
  <c r="L549" i="1" s="1"/>
  <c r="M549" i="1" s="1"/>
  <c r="K550" i="1"/>
  <c r="L550" i="1" s="1"/>
  <c r="M550" i="1" s="1"/>
  <c r="K551" i="1"/>
  <c r="L551" i="1" s="1"/>
  <c r="M551" i="1" s="1"/>
  <c r="K552" i="1"/>
  <c r="L552" i="1" s="1"/>
  <c r="M552" i="1" s="1"/>
  <c r="K553" i="1"/>
  <c r="L553" i="1" s="1"/>
  <c r="M553" i="1" s="1"/>
  <c r="K554" i="1"/>
  <c r="L554" i="1" s="1"/>
  <c r="M554" i="1" s="1"/>
  <c r="K555" i="1"/>
  <c r="L555" i="1" s="1"/>
  <c r="M555" i="1" s="1"/>
  <c r="K556" i="1"/>
  <c r="L556" i="1" s="1"/>
  <c r="M556" i="1" s="1"/>
  <c r="K557" i="1"/>
  <c r="L557" i="1" s="1"/>
  <c r="M557" i="1" s="1"/>
  <c r="K558" i="1"/>
  <c r="L558" i="1" s="1"/>
  <c r="M558" i="1" s="1"/>
  <c r="K559" i="1"/>
  <c r="L559" i="1" s="1"/>
  <c r="M559" i="1" s="1"/>
  <c r="K560" i="1"/>
  <c r="L560" i="1" s="1"/>
  <c r="M560" i="1" s="1"/>
  <c r="K561" i="1"/>
  <c r="L561" i="1" s="1"/>
  <c r="M561" i="1" s="1"/>
  <c r="K562" i="1"/>
  <c r="L562" i="1" s="1"/>
  <c r="M562" i="1" s="1"/>
  <c r="K563" i="1"/>
  <c r="L563" i="1" s="1"/>
  <c r="M563" i="1" s="1"/>
  <c r="K564" i="1"/>
  <c r="L564" i="1" s="1"/>
  <c r="M564" i="1" s="1"/>
  <c r="K565" i="1"/>
  <c r="L565" i="1" s="1"/>
  <c r="M565" i="1" s="1"/>
  <c r="K566" i="1"/>
  <c r="L566" i="1" s="1"/>
  <c r="M566" i="1" s="1"/>
  <c r="K567" i="1"/>
  <c r="L567" i="1" s="1"/>
  <c r="M567" i="1" s="1"/>
  <c r="K568" i="1"/>
  <c r="L568" i="1" s="1"/>
  <c r="M568" i="1" s="1"/>
  <c r="K569" i="1"/>
  <c r="L569" i="1" s="1"/>
  <c r="M569" i="1" s="1"/>
  <c r="K570" i="1"/>
  <c r="L570" i="1" s="1"/>
  <c r="M570" i="1" s="1"/>
  <c r="K571" i="1"/>
  <c r="L571" i="1" s="1"/>
  <c r="M571" i="1" s="1"/>
  <c r="K572" i="1"/>
  <c r="L572" i="1" s="1"/>
  <c r="M572" i="1" s="1"/>
  <c r="K573" i="1"/>
  <c r="L573" i="1" s="1"/>
  <c r="M573" i="1" s="1"/>
  <c r="K574" i="1"/>
  <c r="L574" i="1" s="1"/>
  <c r="M574" i="1" s="1"/>
  <c r="K575" i="1"/>
  <c r="L575" i="1" s="1"/>
  <c r="M575" i="1" s="1"/>
  <c r="K576" i="1"/>
  <c r="L576" i="1" s="1"/>
  <c r="M576" i="1" s="1"/>
  <c r="K577" i="1"/>
  <c r="L577" i="1" s="1"/>
  <c r="M577" i="1" s="1"/>
  <c r="K578" i="1"/>
  <c r="L578" i="1" s="1"/>
  <c r="M578" i="1" s="1"/>
  <c r="K579" i="1"/>
  <c r="L579" i="1" s="1"/>
  <c r="M579" i="1" s="1"/>
  <c r="K580" i="1"/>
  <c r="L580" i="1" s="1"/>
  <c r="M580" i="1" s="1"/>
  <c r="K581" i="1"/>
  <c r="L581" i="1" s="1"/>
  <c r="M581" i="1" s="1"/>
  <c r="K582" i="1"/>
  <c r="L582" i="1" s="1"/>
  <c r="M582" i="1" s="1"/>
  <c r="K583" i="1"/>
  <c r="L583" i="1" s="1"/>
  <c r="M583" i="1" s="1"/>
  <c r="K584" i="1"/>
  <c r="L584" i="1" s="1"/>
  <c r="M584" i="1" s="1"/>
  <c r="K585" i="1"/>
  <c r="L585" i="1" s="1"/>
  <c r="M585" i="1" s="1"/>
  <c r="K586" i="1"/>
  <c r="L586" i="1" s="1"/>
  <c r="M586" i="1" s="1"/>
  <c r="K587" i="1"/>
  <c r="L587" i="1" s="1"/>
  <c r="M587" i="1" s="1"/>
  <c r="K588" i="1"/>
  <c r="L588" i="1" s="1"/>
  <c r="M588" i="1" s="1"/>
  <c r="K589" i="1"/>
  <c r="L589" i="1" s="1"/>
  <c r="M589" i="1" s="1"/>
  <c r="K590" i="1"/>
  <c r="L590" i="1" s="1"/>
  <c r="M590" i="1" s="1"/>
  <c r="K591" i="1"/>
  <c r="L591" i="1" s="1"/>
  <c r="M591" i="1" s="1"/>
  <c r="K592" i="1"/>
  <c r="L592" i="1" s="1"/>
  <c r="M592" i="1" s="1"/>
  <c r="K593" i="1"/>
  <c r="L593" i="1" s="1"/>
  <c r="M593" i="1" s="1"/>
  <c r="K594" i="1"/>
  <c r="L594" i="1" s="1"/>
  <c r="M594" i="1" s="1"/>
  <c r="K595" i="1"/>
  <c r="L595" i="1" s="1"/>
  <c r="M595" i="1" s="1"/>
  <c r="K596" i="1"/>
  <c r="L596" i="1" s="1"/>
  <c r="M596" i="1" s="1"/>
  <c r="K597" i="1"/>
  <c r="L597" i="1" s="1"/>
  <c r="M597" i="1" s="1"/>
  <c r="K598" i="1"/>
  <c r="L598" i="1" s="1"/>
  <c r="M598" i="1" s="1"/>
  <c r="K599" i="1"/>
  <c r="L599" i="1" s="1"/>
  <c r="M599" i="1" s="1"/>
  <c r="K600" i="1"/>
  <c r="L600" i="1" s="1"/>
  <c r="M600" i="1" s="1"/>
  <c r="K601" i="1"/>
  <c r="L601" i="1" s="1"/>
  <c r="M601" i="1" s="1"/>
  <c r="K602" i="1"/>
  <c r="L602" i="1" s="1"/>
  <c r="M602" i="1" s="1"/>
  <c r="K603" i="1"/>
  <c r="L603" i="1" s="1"/>
  <c r="M603" i="1" s="1"/>
  <c r="K604" i="1"/>
  <c r="L604" i="1" s="1"/>
  <c r="M604" i="1" s="1"/>
  <c r="K605" i="1"/>
  <c r="L605" i="1" s="1"/>
  <c r="M605" i="1" s="1"/>
  <c r="K606" i="1"/>
  <c r="L606" i="1" s="1"/>
  <c r="M606" i="1" s="1"/>
  <c r="K607" i="1"/>
  <c r="L607" i="1" s="1"/>
  <c r="M607" i="1" s="1"/>
  <c r="K608" i="1"/>
  <c r="L608" i="1" s="1"/>
  <c r="M608" i="1" s="1"/>
  <c r="K609" i="1"/>
  <c r="L609" i="1" s="1"/>
  <c r="M609" i="1" s="1"/>
  <c r="K610" i="1"/>
  <c r="L610" i="1" s="1"/>
  <c r="M610" i="1" s="1"/>
  <c r="K611" i="1"/>
  <c r="L611" i="1" s="1"/>
  <c r="M611" i="1" s="1"/>
  <c r="K612" i="1"/>
  <c r="L612" i="1" s="1"/>
  <c r="M612" i="1" s="1"/>
  <c r="K613" i="1"/>
  <c r="L613" i="1" s="1"/>
  <c r="M613" i="1" s="1"/>
  <c r="K614" i="1"/>
  <c r="L614" i="1" s="1"/>
  <c r="M614" i="1" s="1"/>
  <c r="K615" i="1"/>
  <c r="L615" i="1" s="1"/>
  <c r="M615" i="1" s="1"/>
  <c r="K616" i="1"/>
  <c r="L616" i="1" s="1"/>
  <c r="M616" i="1" s="1"/>
  <c r="K617" i="1"/>
  <c r="L617" i="1" s="1"/>
  <c r="M617" i="1" s="1"/>
  <c r="K618" i="1"/>
  <c r="L618" i="1" s="1"/>
  <c r="M618" i="1" s="1"/>
  <c r="K619" i="1"/>
  <c r="L619" i="1" s="1"/>
  <c r="M619" i="1" s="1"/>
  <c r="K620" i="1"/>
  <c r="L620" i="1" s="1"/>
  <c r="M620" i="1" s="1"/>
  <c r="K621" i="1"/>
  <c r="L621" i="1" s="1"/>
  <c r="M621" i="1" s="1"/>
  <c r="K622" i="1"/>
  <c r="L622" i="1" s="1"/>
  <c r="M622" i="1" s="1"/>
  <c r="K623" i="1"/>
  <c r="L623" i="1" s="1"/>
  <c r="M623" i="1" s="1"/>
  <c r="K624" i="1"/>
  <c r="L624" i="1" s="1"/>
  <c r="M624" i="1" s="1"/>
  <c r="K625" i="1"/>
  <c r="L625" i="1" s="1"/>
  <c r="M625" i="1" s="1"/>
  <c r="K626" i="1"/>
  <c r="L626" i="1" s="1"/>
  <c r="M626" i="1" s="1"/>
  <c r="K627" i="1"/>
  <c r="L627" i="1" s="1"/>
  <c r="M627" i="1" s="1"/>
  <c r="K628" i="1"/>
  <c r="L628" i="1" s="1"/>
  <c r="M628" i="1" s="1"/>
  <c r="K629" i="1"/>
  <c r="L629" i="1" s="1"/>
  <c r="M629" i="1" s="1"/>
  <c r="K630" i="1"/>
  <c r="L630" i="1" s="1"/>
  <c r="M630" i="1" s="1"/>
  <c r="K631" i="1"/>
  <c r="L631" i="1" s="1"/>
  <c r="M631" i="1" s="1"/>
  <c r="K632" i="1"/>
  <c r="L632" i="1" s="1"/>
  <c r="M632" i="1" s="1"/>
  <c r="K633" i="1"/>
  <c r="L633" i="1" s="1"/>
  <c r="M633" i="1" s="1"/>
  <c r="K634" i="1"/>
  <c r="L634" i="1" s="1"/>
  <c r="M634" i="1" s="1"/>
  <c r="K635" i="1"/>
  <c r="L635" i="1" s="1"/>
  <c r="M635" i="1" s="1"/>
  <c r="K636" i="1"/>
  <c r="L636" i="1" s="1"/>
  <c r="M636" i="1" s="1"/>
  <c r="K637" i="1"/>
  <c r="L637" i="1" s="1"/>
  <c r="M637" i="1" s="1"/>
  <c r="K638" i="1"/>
  <c r="L638" i="1" s="1"/>
  <c r="M638" i="1" s="1"/>
  <c r="K639" i="1"/>
  <c r="L639" i="1" s="1"/>
  <c r="M639" i="1" s="1"/>
  <c r="K640" i="1"/>
  <c r="L640" i="1" s="1"/>
  <c r="M640" i="1" s="1"/>
  <c r="K641" i="1"/>
  <c r="L641" i="1" s="1"/>
  <c r="M641" i="1" s="1"/>
  <c r="K642" i="1"/>
  <c r="L642" i="1" s="1"/>
  <c r="M642" i="1" s="1"/>
  <c r="K643" i="1"/>
  <c r="L643" i="1" s="1"/>
  <c r="M643" i="1" s="1"/>
  <c r="K644" i="1"/>
  <c r="L644" i="1" s="1"/>
  <c r="M644" i="1" s="1"/>
  <c r="K645" i="1"/>
  <c r="L645" i="1" s="1"/>
  <c r="M645" i="1" s="1"/>
  <c r="K646" i="1"/>
  <c r="L646" i="1" s="1"/>
  <c r="M646" i="1" s="1"/>
  <c r="K647" i="1"/>
  <c r="L647" i="1" s="1"/>
  <c r="M647" i="1" s="1"/>
  <c r="K648" i="1"/>
  <c r="L648" i="1" s="1"/>
  <c r="M648" i="1" s="1"/>
  <c r="K649" i="1"/>
  <c r="L649" i="1" s="1"/>
  <c r="M649" i="1" s="1"/>
  <c r="K650" i="1"/>
  <c r="L650" i="1" s="1"/>
  <c r="M650" i="1" s="1"/>
  <c r="K651" i="1"/>
  <c r="L651" i="1" s="1"/>
  <c r="M651" i="1" s="1"/>
  <c r="K652" i="1"/>
  <c r="L652" i="1" s="1"/>
  <c r="M652" i="1" s="1"/>
  <c r="K653" i="1"/>
  <c r="L653" i="1" s="1"/>
  <c r="M653" i="1" s="1"/>
  <c r="K654" i="1"/>
  <c r="L654" i="1" s="1"/>
  <c r="M654" i="1" s="1"/>
  <c r="K655" i="1"/>
  <c r="L655" i="1" s="1"/>
  <c r="M655" i="1" s="1"/>
  <c r="K656" i="1"/>
  <c r="L656" i="1" s="1"/>
  <c r="M656" i="1" s="1"/>
  <c r="K657" i="1"/>
  <c r="L657" i="1" s="1"/>
  <c r="M657" i="1" s="1"/>
  <c r="K658" i="1"/>
  <c r="L658" i="1" s="1"/>
  <c r="M658" i="1" s="1"/>
  <c r="K659" i="1"/>
  <c r="L659" i="1" s="1"/>
  <c r="M659" i="1" s="1"/>
  <c r="K660" i="1"/>
  <c r="L660" i="1" s="1"/>
  <c r="M660" i="1" s="1"/>
  <c r="K661" i="1"/>
  <c r="L661" i="1" s="1"/>
  <c r="M661" i="1" s="1"/>
  <c r="K662" i="1"/>
  <c r="L662" i="1" s="1"/>
  <c r="M662" i="1" s="1"/>
  <c r="K663" i="1"/>
  <c r="L663" i="1" s="1"/>
  <c r="M663" i="1" s="1"/>
  <c r="K664" i="1"/>
  <c r="L664" i="1" s="1"/>
  <c r="M664" i="1" s="1"/>
  <c r="K665" i="1"/>
  <c r="L665" i="1" s="1"/>
  <c r="M665" i="1" s="1"/>
  <c r="K666" i="1"/>
  <c r="L666" i="1" s="1"/>
  <c r="M666" i="1" s="1"/>
  <c r="K667" i="1"/>
  <c r="L667" i="1" s="1"/>
  <c r="M667" i="1" s="1"/>
  <c r="K668" i="1"/>
  <c r="L668" i="1" s="1"/>
  <c r="M668" i="1" s="1"/>
  <c r="K669" i="1"/>
  <c r="L669" i="1" s="1"/>
  <c r="M669" i="1" s="1"/>
  <c r="K670" i="1"/>
  <c r="L670" i="1" s="1"/>
  <c r="M670" i="1" s="1"/>
  <c r="K671" i="1"/>
  <c r="L671" i="1" s="1"/>
  <c r="M671" i="1" s="1"/>
  <c r="K672" i="1"/>
  <c r="L672" i="1" s="1"/>
  <c r="M672" i="1" s="1"/>
  <c r="K673" i="1"/>
  <c r="L673" i="1" s="1"/>
  <c r="M673" i="1" s="1"/>
  <c r="K674" i="1"/>
  <c r="L674" i="1" s="1"/>
  <c r="M674" i="1" s="1"/>
  <c r="K675" i="1"/>
  <c r="L675" i="1" s="1"/>
  <c r="M675" i="1" s="1"/>
  <c r="K676" i="1"/>
  <c r="L676" i="1" s="1"/>
  <c r="M676" i="1" s="1"/>
  <c r="K677" i="1"/>
  <c r="L677" i="1" s="1"/>
  <c r="M677" i="1" s="1"/>
  <c r="K678" i="1"/>
  <c r="L678" i="1" s="1"/>
  <c r="M678" i="1" s="1"/>
  <c r="K679" i="1"/>
  <c r="L679" i="1" s="1"/>
  <c r="M679" i="1" s="1"/>
  <c r="K680" i="1"/>
  <c r="L680" i="1" s="1"/>
  <c r="M680" i="1" s="1"/>
  <c r="K681" i="1"/>
  <c r="L681" i="1" s="1"/>
  <c r="M681" i="1" s="1"/>
  <c r="K682" i="1"/>
  <c r="L682" i="1" s="1"/>
  <c r="M682" i="1" s="1"/>
  <c r="K683" i="1"/>
  <c r="L683" i="1" s="1"/>
  <c r="M683" i="1" s="1"/>
  <c r="K684" i="1"/>
  <c r="L684" i="1" s="1"/>
  <c r="M684" i="1" s="1"/>
  <c r="K685" i="1"/>
  <c r="L685" i="1" s="1"/>
  <c r="M685" i="1" s="1"/>
  <c r="K686" i="1"/>
  <c r="L686" i="1" s="1"/>
  <c r="M686" i="1" s="1"/>
  <c r="K687" i="1"/>
  <c r="L687" i="1" s="1"/>
  <c r="M687" i="1" s="1"/>
  <c r="K688" i="1"/>
  <c r="L688" i="1" s="1"/>
  <c r="M688" i="1" s="1"/>
  <c r="K689" i="1"/>
  <c r="L689" i="1" s="1"/>
  <c r="M689" i="1" s="1"/>
  <c r="K690" i="1"/>
  <c r="L690" i="1" s="1"/>
  <c r="M690" i="1" s="1"/>
  <c r="K691" i="1"/>
  <c r="L691" i="1" s="1"/>
  <c r="M691" i="1" s="1"/>
  <c r="K692" i="1"/>
  <c r="L692" i="1" s="1"/>
  <c r="M692" i="1" s="1"/>
  <c r="K693" i="1"/>
  <c r="L693" i="1" s="1"/>
  <c r="M693" i="1" s="1"/>
  <c r="K694" i="1"/>
  <c r="L694" i="1" s="1"/>
  <c r="M694" i="1" s="1"/>
  <c r="K695" i="1"/>
  <c r="L695" i="1" s="1"/>
  <c r="M695" i="1" s="1"/>
  <c r="K696" i="1"/>
  <c r="L696" i="1" s="1"/>
  <c r="M696" i="1" s="1"/>
  <c r="K697" i="1"/>
  <c r="L697" i="1" s="1"/>
  <c r="M697" i="1" s="1"/>
  <c r="K698" i="1"/>
  <c r="L698" i="1" s="1"/>
  <c r="M698" i="1" s="1"/>
  <c r="K699" i="1"/>
  <c r="L699" i="1" s="1"/>
  <c r="M699" i="1" s="1"/>
  <c r="K700" i="1"/>
  <c r="L700" i="1" s="1"/>
  <c r="M700" i="1" s="1"/>
  <c r="K701" i="1"/>
  <c r="L701" i="1" s="1"/>
  <c r="M701" i="1" s="1"/>
  <c r="K702" i="1"/>
  <c r="L702" i="1" s="1"/>
  <c r="M702" i="1" s="1"/>
  <c r="K703" i="1"/>
  <c r="L703" i="1" s="1"/>
  <c r="M703" i="1" s="1"/>
  <c r="K704" i="1"/>
  <c r="L704" i="1" s="1"/>
  <c r="M704" i="1" s="1"/>
  <c r="K705" i="1"/>
  <c r="L705" i="1" s="1"/>
  <c r="M705" i="1" s="1"/>
  <c r="K706" i="1"/>
  <c r="L706" i="1" s="1"/>
  <c r="M706" i="1" s="1"/>
  <c r="K707" i="1"/>
  <c r="L707" i="1" s="1"/>
  <c r="M707" i="1" s="1"/>
  <c r="K708" i="1"/>
  <c r="L708" i="1" s="1"/>
  <c r="M708" i="1" s="1"/>
  <c r="K709" i="1"/>
  <c r="L709" i="1" s="1"/>
  <c r="M709" i="1" s="1"/>
  <c r="K710" i="1"/>
  <c r="L710" i="1" s="1"/>
  <c r="M710" i="1" s="1"/>
  <c r="K711" i="1"/>
  <c r="L711" i="1" s="1"/>
  <c r="M711" i="1" s="1"/>
  <c r="K712" i="1"/>
  <c r="L712" i="1" s="1"/>
  <c r="M712" i="1" s="1"/>
  <c r="K713" i="1"/>
  <c r="L713" i="1" s="1"/>
  <c r="M713" i="1" s="1"/>
  <c r="K714" i="1"/>
  <c r="L714" i="1" s="1"/>
  <c r="M714" i="1" s="1"/>
  <c r="K715" i="1"/>
  <c r="L715" i="1" s="1"/>
  <c r="M715" i="1" s="1"/>
  <c r="K716" i="1"/>
  <c r="L716" i="1" s="1"/>
  <c r="M716" i="1" s="1"/>
  <c r="K717" i="1"/>
  <c r="L717" i="1" s="1"/>
  <c r="M717" i="1" s="1"/>
  <c r="K718" i="1"/>
  <c r="L718" i="1" s="1"/>
  <c r="M718" i="1" s="1"/>
  <c r="K719" i="1"/>
  <c r="L719" i="1" s="1"/>
  <c r="M719" i="1" s="1"/>
  <c r="K720" i="1"/>
  <c r="L720" i="1" s="1"/>
  <c r="M720" i="1" s="1"/>
  <c r="K721" i="1"/>
  <c r="L721" i="1" s="1"/>
  <c r="M721" i="1" s="1"/>
  <c r="K722" i="1"/>
  <c r="L722" i="1" s="1"/>
  <c r="M722" i="1" s="1"/>
  <c r="K723" i="1"/>
  <c r="L723" i="1" s="1"/>
  <c r="M723" i="1" s="1"/>
  <c r="K724" i="1"/>
  <c r="L724" i="1" s="1"/>
  <c r="M724" i="1" s="1"/>
  <c r="K725" i="1"/>
  <c r="L725" i="1" s="1"/>
  <c r="M725" i="1" s="1"/>
  <c r="K726" i="1"/>
  <c r="L726" i="1" s="1"/>
  <c r="M726" i="1" s="1"/>
  <c r="K727" i="1"/>
  <c r="L727" i="1" s="1"/>
  <c r="M727" i="1" s="1"/>
  <c r="K728" i="1"/>
  <c r="L728" i="1" s="1"/>
  <c r="M728" i="1" s="1"/>
  <c r="K729" i="1"/>
  <c r="L729" i="1" s="1"/>
  <c r="M729" i="1" s="1"/>
  <c r="K730" i="1"/>
  <c r="L730" i="1" s="1"/>
  <c r="M730" i="1" s="1"/>
  <c r="K731" i="1"/>
  <c r="L731" i="1" s="1"/>
  <c r="M731" i="1" s="1"/>
  <c r="K732" i="1"/>
  <c r="L732" i="1" s="1"/>
  <c r="M732" i="1" s="1"/>
  <c r="K733" i="1"/>
  <c r="L733" i="1" s="1"/>
  <c r="M733" i="1" s="1"/>
  <c r="K734" i="1"/>
  <c r="L734" i="1" s="1"/>
  <c r="M734" i="1" s="1"/>
  <c r="K735" i="1"/>
  <c r="L735" i="1" s="1"/>
  <c r="M735" i="1" s="1"/>
  <c r="K736" i="1"/>
  <c r="L736" i="1" s="1"/>
  <c r="M736" i="1" s="1"/>
  <c r="K737" i="1"/>
  <c r="L737" i="1" s="1"/>
  <c r="M737" i="1" s="1"/>
  <c r="K738" i="1"/>
  <c r="L738" i="1" s="1"/>
  <c r="M738" i="1" s="1"/>
  <c r="K739" i="1"/>
  <c r="L739" i="1" s="1"/>
  <c r="M739" i="1" s="1"/>
  <c r="K740" i="1"/>
  <c r="L740" i="1" s="1"/>
  <c r="M740" i="1" s="1"/>
  <c r="K741" i="1"/>
  <c r="L741" i="1" s="1"/>
  <c r="M741" i="1" s="1"/>
  <c r="K742" i="1"/>
  <c r="L742" i="1" s="1"/>
  <c r="M742" i="1" s="1"/>
  <c r="K743" i="1"/>
  <c r="L743" i="1" s="1"/>
  <c r="M743" i="1" s="1"/>
  <c r="K744" i="1"/>
  <c r="L744" i="1" s="1"/>
  <c r="M744" i="1" s="1"/>
  <c r="K745" i="1"/>
  <c r="L745" i="1" s="1"/>
  <c r="M745" i="1" s="1"/>
  <c r="K746" i="1"/>
  <c r="L746" i="1" s="1"/>
  <c r="M746" i="1" s="1"/>
  <c r="K747" i="1"/>
  <c r="L747" i="1" s="1"/>
  <c r="M747" i="1" s="1"/>
  <c r="K748" i="1"/>
  <c r="L748" i="1" s="1"/>
  <c r="M748" i="1" s="1"/>
  <c r="K749" i="1"/>
  <c r="L749" i="1" s="1"/>
  <c r="M749" i="1" s="1"/>
  <c r="K750" i="1"/>
  <c r="L750" i="1" s="1"/>
  <c r="M750" i="1" s="1"/>
  <c r="K751" i="1"/>
  <c r="L751" i="1" s="1"/>
  <c r="M751" i="1" s="1"/>
  <c r="K752" i="1"/>
  <c r="L752" i="1" s="1"/>
  <c r="M752" i="1" s="1"/>
  <c r="K753" i="1"/>
  <c r="L753" i="1" s="1"/>
  <c r="M753" i="1" s="1"/>
  <c r="K754" i="1"/>
  <c r="L754" i="1" s="1"/>
  <c r="M754" i="1" s="1"/>
  <c r="K755" i="1"/>
  <c r="L755" i="1" s="1"/>
  <c r="M755" i="1" s="1"/>
  <c r="K756" i="1"/>
  <c r="L756" i="1" s="1"/>
  <c r="M756" i="1" s="1"/>
  <c r="K757" i="1"/>
  <c r="L757" i="1" s="1"/>
  <c r="M757" i="1" s="1"/>
  <c r="K758" i="1"/>
  <c r="L758" i="1" s="1"/>
  <c r="M758" i="1" s="1"/>
  <c r="K759" i="1"/>
  <c r="L759" i="1" s="1"/>
  <c r="M759" i="1" s="1"/>
  <c r="K760" i="1"/>
  <c r="L760" i="1" s="1"/>
  <c r="M760" i="1" s="1"/>
  <c r="K761" i="1"/>
  <c r="L761" i="1" s="1"/>
  <c r="M761" i="1" s="1"/>
  <c r="K762" i="1"/>
  <c r="L762" i="1" s="1"/>
  <c r="M762" i="1" s="1"/>
  <c r="K763" i="1"/>
  <c r="L763" i="1" s="1"/>
  <c r="M763" i="1" s="1"/>
  <c r="K764" i="1"/>
  <c r="L764" i="1" s="1"/>
  <c r="M764" i="1" s="1"/>
  <c r="K765" i="1"/>
  <c r="L765" i="1" s="1"/>
  <c r="M765" i="1" s="1"/>
  <c r="K766" i="1"/>
  <c r="L766" i="1" s="1"/>
  <c r="M766" i="1" s="1"/>
  <c r="K767" i="1"/>
  <c r="L767" i="1" s="1"/>
  <c r="M767" i="1" s="1"/>
  <c r="K768" i="1"/>
  <c r="L768" i="1" s="1"/>
  <c r="M768" i="1" s="1"/>
  <c r="K769" i="1"/>
  <c r="L769" i="1" s="1"/>
  <c r="M769" i="1" s="1"/>
  <c r="K770" i="1"/>
  <c r="L770" i="1" s="1"/>
  <c r="M770" i="1" s="1"/>
  <c r="K771" i="1"/>
  <c r="L771" i="1" s="1"/>
  <c r="M771" i="1" s="1"/>
  <c r="K772" i="1"/>
  <c r="L772" i="1" s="1"/>
  <c r="M772" i="1" s="1"/>
  <c r="K773" i="1"/>
  <c r="L773" i="1" s="1"/>
  <c r="M773" i="1" s="1"/>
  <c r="K774" i="1"/>
  <c r="L774" i="1" s="1"/>
  <c r="M774" i="1" s="1"/>
  <c r="K775" i="1"/>
  <c r="L775" i="1" s="1"/>
  <c r="M775" i="1" s="1"/>
  <c r="K776" i="1"/>
  <c r="L776" i="1" s="1"/>
  <c r="M776" i="1" s="1"/>
  <c r="K777" i="1"/>
  <c r="L777" i="1" s="1"/>
  <c r="M777" i="1" s="1"/>
  <c r="K778" i="1"/>
  <c r="L778" i="1" s="1"/>
  <c r="M778" i="1" s="1"/>
  <c r="K779" i="1"/>
  <c r="L779" i="1" s="1"/>
  <c r="M779" i="1" s="1"/>
  <c r="K780" i="1"/>
  <c r="L780" i="1" s="1"/>
  <c r="M780" i="1" s="1"/>
  <c r="K781" i="1"/>
  <c r="L781" i="1" s="1"/>
  <c r="M781" i="1" s="1"/>
  <c r="K782" i="1"/>
  <c r="L782" i="1" s="1"/>
  <c r="M782" i="1" s="1"/>
  <c r="K783" i="1"/>
  <c r="L783" i="1" s="1"/>
  <c r="M783" i="1" s="1"/>
  <c r="K784" i="1"/>
  <c r="L784" i="1" s="1"/>
  <c r="M784" i="1" s="1"/>
  <c r="K785" i="1"/>
  <c r="L785" i="1" s="1"/>
  <c r="M785" i="1" s="1"/>
  <c r="K786" i="1"/>
  <c r="L786" i="1" s="1"/>
  <c r="M786" i="1" s="1"/>
  <c r="K787" i="1"/>
  <c r="L787" i="1" s="1"/>
  <c r="M787" i="1" s="1"/>
  <c r="K788" i="1"/>
  <c r="L788" i="1" s="1"/>
  <c r="M788" i="1" s="1"/>
  <c r="K789" i="1"/>
  <c r="L789" i="1" s="1"/>
  <c r="M789" i="1" s="1"/>
  <c r="K790" i="1"/>
  <c r="L790" i="1" s="1"/>
  <c r="M790" i="1" s="1"/>
  <c r="K791" i="1"/>
  <c r="L791" i="1" s="1"/>
  <c r="M791" i="1" s="1"/>
  <c r="K792" i="1"/>
  <c r="L792" i="1" s="1"/>
  <c r="M792" i="1" s="1"/>
  <c r="K793" i="1"/>
  <c r="L793" i="1" s="1"/>
  <c r="M793" i="1" s="1"/>
  <c r="K794" i="1"/>
  <c r="L794" i="1" s="1"/>
  <c r="M794" i="1" s="1"/>
  <c r="K795" i="1"/>
  <c r="L795" i="1" s="1"/>
  <c r="M795" i="1" s="1"/>
  <c r="K796" i="1"/>
  <c r="L796" i="1" s="1"/>
  <c r="M796" i="1" s="1"/>
  <c r="K797" i="1"/>
  <c r="L797" i="1" s="1"/>
  <c r="M797" i="1" s="1"/>
  <c r="K798" i="1"/>
  <c r="L798" i="1" s="1"/>
  <c r="M798" i="1" s="1"/>
  <c r="K799" i="1"/>
  <c r="L799" i="1" s="1"/>
  <c r="M799" i="1" s="1"/>
  <c r="K800" i="1"/>
  <c r="L800" i="1" s="1"/>
  <c r="M800" i="1" s="1"/>
  <c r="K801" i="1"/>
  <c r="L801" i="1" s="1"/>
  <c r="M801" i="1" s="1"/>
  <c r="K802" i="1"/>
  <c r="L802" i="1" s="1"/>
  <c r="M802" i="1" s="1"/>
  <c r="K803" i="1"/>
  <c r="L803" i="1" s="1"/>
  <c r="M803" i="1" s="1"/>
  <c r="K804" i="1"/>
  <c r="L804" i="1" s="1"/>
  <c r="M804" i="1" s="1"/>
  <c r="K805" i="1"/>
  <c r="L805" i="1" s="1"/>
  <c r="M805" i="1" s="1"/>
  <c r="K806" i="1"/>
  <c r="L806" i="1" s="1"/>
  <c r="M806" i="1" s="1"/>
  <c r="K807" i="1"/>
  <c r="L807" i="1" s="1"/>
  <c r="M807" i="1" s="1"/>
  <c r="K808" i="1"/>
  <c r="L808" i="1" s="1"/>
  <c r="M808" i="1" s="1"/>
  <c r="K809" i="1"/>
  <c r="L809" i="1" s="1"/>
  <c r="M809" i="1" s="1"/>
  <c r="K810" i="1"/>
  <c r="L810" i="1" s="1"/>
  <c r="M810" i="1" s="1"/>
  <c r="K811" i="1"/>
  <c r="L811" i="1" s="1"/>
  <c r="M811" i="1" s="1"/>
  <c r="K812" i="1"/>
  <c r="L812" i="1" s="1"/>
  <c r="M812" i="1" s="1"/>
  <c r="K813" i="1"/>
  <c r="L813" i="1" s="1"/>
  <c r="M813" i="1" s="1"/>
  <c r="K814" i="1"/>
  <c r="L814" i="1" s="1"/>
  <c r="M814" i="1" s="1"/>
  <c r="K815" i="1"/>
  <c r="L815" i="1" s="1"/>
  <c r="M815" i="1" s="1"/>
  <c r="K816" i="1"/>
  <c r="L816" i="1" s="1"/>
  <c r="M816" i="1" s="1"/>
  <c r="K817" i="1"/>
  <c r="L817" i="1" s="1"/>
  <c r="M817" i="1" s="1"/>
  <c r="K818" i="1"/>
  <c r="L818" i="1" s="1"/>
  <c r="M818" i="1" s="1"/>
  <c r="K819" i="1"/>
  <c r="L819" i="1" s="1"/>
  <c r="M819" i="1" s="1"/>
  <c r="K820" i="1"/>
  <c r="L820" i="1" s="1"/>
  <c r="M820" i="1" s="1"/>
  <c r="K821" i="1"/>
  <c r="L821" i="1" s="1"/>
  <c r="M821" i="1" s="1"/>
  <c r="K822" i="1"/>
  <c r="L822" i="1" s="1"/>
  <c r="M822" i="1" s="1"/>
  <c r="K823" i="1"/>
  <c r="L823" i="1" s="1"/>
  <c r="M823" i="1" s="1"/>
  <c r="K824" i="1"/>
  <c r="L824" i="1" s="1"/>
  <c r="M824" i="1" s="1"/>
  <c r="K825" i="1"/>
  <c r="L825" i="1" s="1"/>
  <c r="M825" i="1" s="1"/>
  <c r="K826" i="1"/>
  <c r="L826" i="1" s="1"/>
  <c r="M826" i="1" s="1"/>
  <c r="K827" i="1"/>
  <c r="L827" i="1" s="1"/>
  <c r="M827" i="1" s="1"/>
  <c r="K828" i="1"/>
  <c r="L828" i="1" s="1"/>
  <c r="M828" i="1" s="1"/>
  <c r="K829" i="1"/>
  <c r="L829" i="1" s="1"/>
  <c r="M829" i="1" s="1"/>
  <c r="K830" i="1"/>
  <c r="L830" i="1" s="1"/>
  <c r="M830" i="1" s="1"/>
  <c r="K831" i="1"/>
  <c r="L831" i="1" s="1"/>
  <c r="M831" i="1" s="1"/>
  <c r="K832" i="1"/>
  <c r="L832" i="1" s="1"/>
  <c r="M832" i="1" s="1"/>
  <c r="K833" i="1"/>
  <c r="L833" i="1" s="1"/>
  <c r="M833" i="1" s="1"/>
  <c r="K834" i="1"/>
  <c r="L834" i="1" s="1"/>
  <c r="M834" i="1" s="1"/>
  <c r="K835" i="1"/>
  <c r="L835" i="1" s="1"/>
  <c r="M835" i="1" s="1"/>
  <c r="K836" i="1"/>
  <c r="L836" i="1" s="1"/>
  <c r="M836" i="1" s="1"/>
  <c r="K837" i="1"/>
  <c r="L837" i="1" s="1"/>
  <c r="M837" i="1" s="1"/>
  <c r="K838" i="1"/>
  <c r="L838" i="1" s="1"/>
  <c r="M838" i="1" s="1"/>
  <c r="K839" i="1"/>
  <c r="L839" i="1" s="1"/>
  <c r="M839" i="1" s="1"/>
  <c r="K840" i="1"/>
  <c r="L840" i="1" s="1"/>
  <c r="M840" i="1" s="1"/>
  <c r="K841" i="1"/>
  <c r="L841" i="1" s="1"/>
  <c r="M841" i="1" s="1"/>
  <c r="K842" i="1"/>
  <c r="L842" i="1" s="1"/>
  <c r="M842" i="1" s="1"/>
  <c r="K843" i="1"/>
  <c r="L843" i="1" s="1"/>
  <c r="M843" i="1" s="1"/>
  <c r="K844" i="1"/>
  <c r="L844" i="1" s="1"/>
  <c r="M844" i="1" s="1"/>
  <c r="K845" i="1"/>
  <c r="L845" i="1" s="1"/>
  <c r="M845" i="1" s="1"/>
  <c r="K846" i="1"/>
  <c r="L846" i="1" s="1"/>
  <c r="M846" i="1" s="1"/>
  <c r="K847" i="1"/>
  <c r="L847" i="1" s="1"/>
  <c r="M847" i="1" s="1"/>
  <c r="K848" i="1"/>
  <c r="L848" i="1" s="1"/>
  <c r="M848" i="1" s="1"/>
  <c r="K849" i="1"/>
  <c r="L849" i="1" s="1"/>
  <c r="M849" i="1" s="1"/>
  <c r="K850" i="1"/>
  <c r="L850" i="1" s="1"/>
  <c r="M850" i="1" s="1"/>
  <c r="K851" i="1"/>
  <c r="L851" i="1" s="1"/>
  <c r="M851" i="1" s="1"/>
  <c r="K852" i="1"/>
  <c r="L852" i="1" s="1"/>
  <c r="M852" i="1" s="1"/>
  <c r="K853" i="1"/>
  <c r="L853" i="1" s="1"/>
  <c r="M853" i="1" s="1"/>
  <c r="K854" i="1"/>
  <c r="L854" i="1" s="1"/>
  <c r="M854" i="1" s="1"/>
  <c r="K855" i="1"/>
  <c r="L855" i="1" s="1"/>
  <c r="M855" i="1" s="1"/>
  <c r="K856" i="1"/>
  <c r="L856" i="1" s="1"/>
  <c r="M856" i="1" s="1"/>
  <c r="K857" i="1"/>
  <c r="L857" i="1" s="1"/>
  <c r="M857" i="1" s="1"/>
  <c r="K858" i="1"/>
  <c r="L858" i="1" s="1"/>
  <c r="M858" i="1" s="1"/>
  <c r="K859" i="1"/>
  <c r="L859" i="1" s="1"/>
  <c r="M859" i="1" s="1"/>
  <c r="K860" i="1"/>
  <c r="L860" i="1" s="1"/>
  <c r="M860" i="1" s="1"/>
  <c r="K861" i="1"/>
  <c r="L861" i="1" s="1"/>
  <c r="M861" i="1" s="1"/>
  <c r="K862" i="1"/>
  <c r="L862" i="1" s="1"/>
  <c r="M862" i="1" s="1"/>
  <c r="K863" i="1"/>
  <c r="L863" i="1" s="1"/>
  <c r="M863" i="1" s="1"/>
  <c r="K864" i="1"/>
  <c r="L864" i="1" s="1"/>
  <c r="M864" i="1" s="1"/>
  <c r="K865" i="1"/>
  <c r="L865" i="1" s="1"/>
  <c r="M865" i="1" s="1"/>
  <c r="K866" i="1"/>
  <c r="L866" i="1" s="1"/>
  <c r="M866" i="1" s="1"/>
  <c r="K867" i="1"/>
  <c r="L867" i="1" s="1"/>
  <c r="M867" i="1" s="1"/>
  <c r="K868" i="1"/>
  <c r="L868" i="1" s="1"/>
  <c r="M868" i="1" s="1"/>
  <c r="K869" i="1"/>
  <c r="L869" i="1" s="1"/>
  <c r="M869" i="1" s="1"/>
  <c r="K870" i="1"/>
  <c r="L870" i="1" s="1"/>
  <c r="M870" i="1" s="1"/>
  <c r="K871" i="1"/>
  <c r="L871" i="1" s="1"/>
  <c r="M871" i="1" s="1"/>
  <c r="K872" i="1"/>
  <c r="L872" i="1" s="1"/>
  <c r="M872" i="1" s="1"/>
  <c r="K873" i="1"/>
  <c r="L873" i="1" s="1"/>
  <c r="M873" i="1" s="1"/>
  <c r="K874" i="1"/>
  <c r="L874" i="1" s="1"/>
  <c r="M874" i="1" s="1"/>
  <c r="K875" i="1"/>
  <c r="L875" i="1" s="1"/>
  <c r="M875" i="1" s="1"/>
  <c r="K876" i="1"/>
  <c r="L876" i="1" s="1"/>
  <c r="M876" i="1" s="1"/>
  <c r="K877" i="1"/>
  <c r="L877" i="1" s="1"/>
  <c r="M877" i="1" s="1"/>
  <c r="K878" i="1"/>
  <c r="L878" i="1" s="1"/>
  <c r="M878" i="1" s="1"/>
  <c r="K879" i="1"/>
  <c r="L879" i="1" s="1"/>
  <c r="M879" i="1" s="1"/>
  <c r="K880" i="1"/>
  <c r="L880" i="1" s="1"/>
  <c r="M880" i="1" s="1"/>
  <c r="K881" i="1"/>
  <c r="L881" i="1" s="1"/>
  <c r="M881" i="1" s="1"/>
  <c r="K882" i="1"/>
  <c r="L882" i="1" s="1"/>
  <c r="M882" i="1" s="1"/>
  <c r="K883" i="1"/>
  <c r="L883" i="1" s="1"/>
  <c r="M883" i="1" s="1"/>
  <c r="K884" i="1"/>
  <c r="L884" i="1" s="1"/>
  <c r="M884" i="1" s="1"/>
  <c r="K885" i="1"/>
  <c r="L885" i="1" s="1"/>
  <c r="M885" i="1" s="1"/>
  <c r="K886" i="1"/>
  <c r="L886" i="1" s="1"/>
  <c r="M886" i="1" s="1"/>
  <c r="K887" i="1"/>
  <c r="L887" i="1" s="1"/>
  <c r="M887" i="1" s="1"/>
  <c r="K888" i="1"/>
  <c r="L888" i="1" s="1"/>
  <c r="M888" i="1" s="1"/>
  <c r="K889" i="1"/>
  <c r="L889" i="1" s="1"/>
  <c r="M889" i="1" s="1"/>
  <c r="K890" i="1"/>
  <c r="L890" i="1" s="1"/>
  <c r="M890" i="1" s="1"/>
  <c r="K891" i="1"/>
  <c r="L891" i="1" s="1"/>
  <c r="M891" i="1" s="1"/>
  <c r="K892" i="1"/>
  <c r="L892" i="1" s="1"/>
  <c r="M892" i="1" s="1"/>
  <c r="K893" i="1"/>
  <c r="L893" i="1" s="1"/>
  <c r="M893" i="1" s="1"/>
  <c r="K894" i="1"/>
  <c r="L894" i="1" s="1"/>
  <c r="M894" i="1" s="1"/>
  <c r="K895" i="1"/>
  <c r="L895" i="1" s="1"/>
  <c r="M895" i="1" s="1"/>
  <c r="K896" i="1"/>
  <c r="L896" i="1" s="1"/>
  <c r="M896" i="1" s="1"/>
  <c r="K897" i="1"/>
  <c r="L897" i="1" s="1"/>
  <c r="M897" i="1" s="1"/>
  <c r="K898" i="1"/>
  <c r="L898" i="1" s="1"/>
  <c r="M898" i="1" s="1"/>
  <c r="K899" i="1"/>
  <c r="L899" i="1" s="1"/>
  <c r="M899" i="1" s="1"/>
  <c r="K900" i="1"/>
  <c r="L900" i="1" s="1"/>
  <c r="M900" i="1" s="1"/>
  <c r="K901" i="1"/>
  <c r="L901" i="1" s="1"/>
  <c r="M901" i="1" s="1"/>
  <c r="K902" i="1"/>
  <c r="L902" i="1" s="1"/>
  <c r="M902" i="1" s="1"/>
  <c r="K903" i="1"/>
  <c r="L903" i="1" s="1"/>
  <c r="M903" i="1" s="1"/>
  <c r="K904" i="1"/>
  <c r="L904" i="1" s="1"/>
  <c r="M904" i="1" s="1"/>
  <c r="K905" i="1"/>
  <c r="L905" i="1" s="1"/>
  <c r="M905" i="1" s="1"/>
  <c r="K906" i="1"/>
  <c r="L906" i="1" s="1"/>
  <c r="M906" i="1" s="1"/>
  <c r="K907" i="1"/>
  <c r="L907" i="1" s="1"/>
  <c r="M907" i="1" s="1"/>
  <c r="K908" i="1"/>
  <c r="L908" i="1" s="1"/>
  <c r="M908" i="1" s="1"/>
  <c r="K909" i="1"/>
  <c r="L909" i="1" s="1"/>
  <c r="M909" i="1" s="1"/>
  <c r="K910" i="1"/>
  <c r="L910" i="1" s="1"/>
  <c r="M910" i="1" s="1"/>
  <c r="K911" i="1"/>
  <c r="L911" i="1" s="1"/>
  <c r="M911" i="1" s="1"/>
  <c r="K912" i="1"/>
  <c r="L912" i="1" s="1"/>
  <c r="M912" i="1" s="1"/>
  <c r="K913" i="1"/>
  <c r="L913" i="1" s="1"/>
  <c r="M913" i="1" s="1"/>
  <c r="K914" i="1"/>
  <c r="L914" i="1" s="1"/>
  <c r="M914" i="1" s="1"/>
  <c r="K915" i="1"/>
  <c r="L915" i="1" s="1"/>
  <c r="M915" i="1" s="1"/>
  <c r="K916" i="1"/>
  <c r="L916" i="1" s="1"/>
  <c r="M916" i="1" s="1"/>
  <c r="K917" i="1"/>
  <c r="L917" i="1" s="1"/>
  <c r="M917" i="1" s="1"/>
  <c r="K918" i="1"/>
  <c r="L918" i="1" s="1"/>
  <c r="M918" i="1" s="1"/>
  <c r="K919" i="1"/>
  <c r="L919" i="1" s="1"/>
  <c r="M919" i="1" s="1"/>
  <c r="K920" i="1"/>
  <c r="L920" i="1" s="1"/>
  <c r="M920" i="1" s="1"/>
  <c r="K921" i="1"/>
  <c r="L921" i="1" s="1"/>
  <c r="M921" i="1" s="1"/>
  <c r="K922" i="1"/>
  <c r="L922" i="1" s="1"/>
  <c r="M922" i="1" s="1"/>
  <c r="K923" i="1"/>
  <c r="L923" i="1" s="1"/>
  <c r="M923" i="1" s="1"/>
  <c r="K924" i="1"/>
  <c r="L924" i="1" s="1"/>
  <c r="M924" i="1" s="1"/>
  <c r="K925" i="1"/>
  <c r="L925" i="1" s="1"/>
  <c r="M925" i="1" s="1"/>
  <c r="K926" i="1"/>
  <c r="L926" i="1" s="1"/>
  <c r="M926" i="1" s="1"/>
  <c r="K927" i="1"/>
  <c r="L927" i="1" s="1"/>
  <c r="M927" i="1" s="1"/>
  <c r="K928" i="1"/>
  <c r="L928" i="1" s="1"/>
  <c r="M928" i="1" s="1"/>
  <c r="K929" i="1"/>
  <c r="L929" i="1" s="1"/>
  <c r="M929" i="1" s="1"/>
  <c r="K930" i="1"/>
  <c r="L930" i="1" s="1"/>
  <c r="M930" i="1" s="1"/>
  <c r="K931" i="1"/>
  <c r="L931" i="1" s="1"/>
  <c r="M931" i="1" s="1"/>
  <c r="K932" i="1"/>
  <c r="L932" i="1" s="1"/>
  <c r="M932" i="1" s="1"/>
  <c r="K933" i="1"/>
  <c r="L933" i="1" s="1"/>
  <c r="M933" i="1" s="1"/>
  <c r="K934" i="1"/>
  <c r="L934" i="1" s="1"/>
  <c r="M934" i="1" s="1"/>
  <c r="K935" i="1"/>
  <c r="L935" i="1" s="1"/>
  <c r="M935" i="1" s="1"/>
  <c r="K936" i="1"/>
  <c r="L936" i="1" s="1"/>
  <c r="M936" i="1" s="1"/>
  <c r="K937" i="1"/>
  <c r="L937" i="1" s="1"/>
  <c r="M937" i="1" s="1"/>
  <c r="K938" i="1"/>
  <c r="L938" i="1" s="1"/>
  <c r="M938" i="1" s="1"/>
  <c r="K939" i="1"/>
  <c r="L939" i="1" s="1"/>
  <c r="M939" i="1" s="1"/>
  <c r="K940" i="1"/>
  <c r="L940" i="1" s="1"/>
  <c r="M940" i="1" s="1"/>
  <c r="K941" i="1"/>
  <c r="L941" i="1" s="1"/>
  <c r="M941" i="1" s="1"/>
  <c r="K942" i="1"/>
  <c r="L942" i="1" s="1"/>
  <c r="M942" i="1" s="1"/>
  <c r="K943" i="1"/>
  <c r="L943" i="1" s="1"/>
  <c r="M943" i="1" s="1"/>
  <c r="K944" i="1"/>
  <c r="L944" i="1" s="1"/>
  <c r="M944" i="1" s="1"/>
  <c r="K945" i="1"/>
  <c r="L945" i="1" s="1"/>
  <c r="M945" i="1" s="1"/>
  <c r="K946" i="1"/>
  <c r="L946" i="1" s="1"/>
  <c r="M946" i="1" s="1"/>
  <c r="K947" i="1"/>
  <c r="L947" i="1" s="1"/>
  <c r="M947" i="1" s="1"/>
  <c r="K948" i="1"/>
  <c r="L948" i="1" s="1"/>
  <c r="M948" i="1" s="1"/>
  <c r="D6" i="9" s="1"/>
  <c r="B26" i="9" s="1"/>
  <c r="K1091" i="1"/>
  <c r="L1091" i="1" s="1"/>
  <c r="M1091" i="1" s="1"/>
  <c r="K1094" i="1"/>
  <c r="L1094" i="1" s="1"/>
  <c r="M1094" i="1" s="1"/>
  <c r="K1097" i="1"/>
  <c r="L1097" i="1" s="1"/>
  <c r="M1097" i="1" s="1"/>
  <c r="K1099" i="1"/>
  <c r="L1099" i="1" s="1"/>
  <c r="M1099" i="1" s="1"/>
  <c r="K1102" i="1"/>
  <c r="L1102" i="1" s="1"/>
  <c r="M1102" i="1" s="1"/>
  <c r="K1104" i="1"/>
  <c r="L1104" i="1" s="1"/>
  <c r="M1104" i="1" s="1"/>
  <c r="K1106" i="1"/>
  <c r="L1106" i="1" s="1"/>
  <c r="M1106" i="1" s="1"/>
  <c r="K1107" i="1"/>
  <c r="L1107" i="1" s="1"/>
  <c r="M1107" i="1" s="1"/>
  <c r="K1109" i="1"/>
  <c r="L1109" i="1" s="1"/>
  <c r="M1109" i="1" s="1"/>
  <c r="K1111" i="1"/>
  <c r="L1111" i="1" s="1"/>
  <c r="M1111" i="1" s="1"/>
  <c r="K1113" i="1"/>
  <c r="L1113" i="1" s="1"/>
  <c r="M1113" i="1" s="1"/>
  <c r="K1114" i="1"/>
  <c r="L1114" i="1" s="1"/>
  <c r="M1114" i="1" s="1"/>
  <c r="K1116" i="1"/>
  <c r="L1116" i="1" s="1"/>
  <c r="M1116" i="1" s="1"/>
  <c r="K1118" i="1"/>
  <c r="L1118" i="1" s="1"/>
  <c r="M1118" i="1" s="1"/>
  <c r="K1119" i="1"/>
  <c r="L1119" i="1" s="1"/>
  <c r="M1119" i="1" s="1"/>
  <c r="K1121" i="1"/>
  <c r="L1121" i="1" s="1"/>
  <c r="M1121" i="1" s="1"/>
  <c r="K1123" i="1"/>
  <c r="L1123" i="1" s="1"/>
  <c r="M1123" i="1" s="1"/>
  <c r="K1124" i="1"/>
  <c r="L1124" i="1" s="1"/>
  <c r="M1124" i="1" s="1"/>
  <c r="K1126" i="1"/>
  <c r="L1126" i="1" s="1"/>
  <c r="M1126" i="1" s="1"/>
  <c r="K1128" i="1"/>
  <c r="L1128" i="1" s="1"/>
  <c r="M1128" i="1" s="1"/>
  <c r="K1129" i="1"/>
  <c r="L1129" i="1" s="1"/>
  <c r="M1129" i="1" s="1"/>
  <c r="K1131" i="1"/>
  <c r="L1131" i="1" s="1"/>
  <c r="M1131" i="1" s="1"/>
  <c r="K1133" i="1"/>
  <c r="L1133" i="1" s="1"/>
  <c r="M1133" i="1" s="1"/>
  <c r="K1136" i="1"/>
  <c r="L1136" i="1" s="1"/>
  <c r="M1136" i="1" s="1"/>
  <c r="K1139" i="1"/>
  <c r="L1139" i="1" s="1"/>
  <c r="M1139" i="1" s="1"/>
  <c r="K949" i="1"/>
  <c r="L949" i="1" s="1"/>
  <c r="M949" i="1" s="1"/>
  <c r="K950" i="1"/>
  <c r="L950" i="1" s="1"/>
  <c r="M950" i="1" s="1"/>
  <c r="K951" i="1"/>
  <c r="L951" i="1" s="1"/>
  <c r="M951" i="1" s="1"/>
  <c r="K952" i="1"/>
  <c r="L952" i="1" s="1"/>
  <c r="M952" i="1" s="1"/>
  <c r="K953" i="1"/>
  <c r="L953" i="1" s="1"/>
  <c r="M953" i="1" s="1"/>
  <c r="K954" i="1"/>
  <c r="L954" i="1" s="1"/>
  <c r="M954" i="1" s="1"/>
  <c r="K955" i="1"/>
  <c r="L955" i="1" s="1"/>
  <c r="M955" i="1" s="1"/>
  <c r="K956" i="1"/>
  <c r="L956" i="1" s="1"/>
  <c r="M956" i="1" s="1"/>
  <c r="K957" i="1"/>
  <c r="L957" i="1" s="1"/>
  <c r="M957" i="1" s="1"/>
  <c r="K958" i="1"/>
  <c r="L958" i="1" s="1"/>
  <c r="M958" i="1" s="1"/>
  <c r="K959" i="1"/>
  <c r="L959" i="1" s="1"/>
  <c r="M959" i="1" s="1"/>
  <c r="K960" i="1"/>
  <c r="L960" i="1" s="1"/>
  <c r="M960" i="1" s="1"/>
  <c r="K961" i="1"/>
  <c r="L961" i="1" s="1"/>
  <c r="M961" i="1" s="1"/>
  <c r="K962" i="1"/>
  <c r="L962" i="1" s="1"/>
  <c r="M962" i="1" s="1"/>
  <c r="K963" i="1"/>
  <c r="L963" i="1" s="1"/>
  <c r="M963" i="1" s="1"/>
  <c r="K964" i="1"/>
  <c r="L964" i="1" s="1"/>
  <c r="M964" i="1" s="1"/>
  <c r="K965" i="1"/>
  <c r="L965" i="1" s="1"/>
  <c r="M965" i="1" s="1"/>
  <c r="K966" i="1"/>
  <c r="L966" i="1" s="1"/>
  <c r="M966" i="1" s="1"/>
  <c r="K967" i="1"/>
  <c r="L967" i="1" s="1"/>
  <c r="M967" i="1" s="1"/>
  <c r="K968" i="1"/>
  <c r="L968" i="1" s="1"/>
  <c r="M968" i="1" s="1"/>
  <c r="K969" i="1"/>
  <c r="L969" i="1" s="1"/>
  <c r="M969" i="1" s="1"/>
  <c r="K970" i="1"/>
  <c r="L970" i="1" s="1"/>
  <c r="M970" i="1" s="1"/>
  <c r="K971" i="1"/>
  <c r="L971" i="1" s="1"/>
  <c r="M971" i="1" s="1"/>
  <c r="K972" i="1"/>
  <c r="L972" i="1" s="1"/>
  <c r="M972" i="1" s="1"/>
  <c r="K973" i="1"/>
  <c r="L973" i="1" s="1"/>
  <c r="M973" i="1" s="1"/>
  <c r="K974" i="1"/>
  <c r="L974" i="1" s="1"/>
  <c r="M974" i="1" s="1"/>
  <c r="K975" i="1"/>
  <c r="L975" i="1" s="1"/>
  <c r="M975" i="1" s="1"/>
  <c r="K976" i="1"/>
  <c r="L976" i="1" s="1"/>
  <c r="M976" i="1" s="1"/>
  <c r="K977" i="1"/>
  <c r="L977" i="1" s="1"/>
  <c r="M977" i="1" s="1"/>
  <c r="K978" i="1"/>
  <c r="L978" i="1" s="1"/>
  <c r="M978" i="1" s="1"/>
  <c r="K979" i="1"/>
  <c r="L979" i="1" s="1"/>
  <c r="M979" i="1" s="1"/>
  <c r="K980" i="1"/>
  <c r="L980" i="1" s="1"/>
  <c r="M980" i="1" s="1"/>
  <c r="K981" i="1"/>
  <c r="L981" i="1" s="1"/>
  <c r="M981" i="1" s="1"/>
  <c r="K982" i="1"/>
  <c r="L982" i="1" s="1"/>
  <c r="M982" i="1" s="1"/>
  <c r="K983" i="1"/>
  <c r="L983" i="1" s="1"/>
  <c r="M983" i="1" s="1"/>
  <c r="K984" i="1"/>
  <c r="L984" i="1" s="1"/>
  <c r="M984" i="1" s="1"/>
  <c r="K985" i="1"/>
  <c r="L985" i="1" s="1"/>
  <c r="M985" i="1" s="1"/>
  <c r="K986" i="1"/>
  <c r="L986" i="1" s="1"/>
  <c r="M986" i="1" s="1"/>
  <c r="K987" i="1"/>
  <c r="L987" i="1" s="1"/>
  <c r="M987" i="1" s="1"/>
  <c r="K988" i="1"/>
  <c r="L988" i="1" s="1"/>
  <c r="M988" i="1" s="1"/>
  <c r="K989" i="1"/>
  <c r="L989" i="1" s="1"/>
  <c r="M989" i="1" s="1"/>
  <c r="K990" i="1"/>
  <c r="L990" i="1" s="1"/>
  <c r="M990" i="1" s="1"/>
  <c r="K991" i="1"/>
  <c r="L991" i="1" s="1"/>
  <c r="M991" i="1" s="1"/>
  <c r="K992" i="1"/>
  <c r="L992" i="1" s="1"/>
  <c r="M992" i="1" s="1"/>
  <c r="K993" i="1"/>
  <c r="L993" i="1" s="1"/>
  <c r="M993" i="1" s="1"/>
  <c r="K994" i="1"/>
  <c r="L994" i="1" s="1"/>
  <c r="M994" i="1" s="1"/>
  <c r="K995" i="1"/>
  <c r="L995" i="1" s="1"/>
  <c r="M995" i="1" s="1"/>
  <c r="K996" i="1"/>
  <c r="L996" i="1" s="1"/>
  <c r="M996" i="1" s="1"/>
  <c r="K997" i="1"/>
  <c r="L997" i="1" s="1"/>
  <c r="M997" i="1" s="1"/>
  <c r="K998" i="1"/>
  <c r="L998" i="1" s="1"/>
  <c r="M998" i="1" s="1"/>
  <c r="K999" i="1"/>
  <c r="L999" i="1" s="1"/>
  <c r="M999" i="1" s="1"/>
  <c r="K1000" i="1"/>
  <c r="L1000" i="1" s="1"/>
  <c r="M1000" i="1" s="1"/>
  <c r="K1001" i="1"/>
  <c r="L1001" i="1" s="1"/>
  <c r="M1001" i="1" s="1"/>
  <c r="K1002" i="1"/>
  <c r="L1002" i="1" s="1"/>
  <c r="M1002" i="1" s="1"/>
  <c r="K1003" i="1"/>
  <c r="L1003" i="1" s="1"/>
  <c r="M1003" i="1" s="1"/>
  <c r="K1004" i="1"/>
  <c r="L1004" i="1" s="1"/>
  <c r="M1004" i="1" s="1"/>
  <c r="K1005" i="1"/>
  <c r="L1005" i="1" s="1"/>
  <c r="M1005" i="1" s="1"/>
  <c r="K1006" i="1"/>
  <c r="L1006" i="1" s="1"/>
  <c r="M1006" i="1" s="1"/>
  <c r="K1007" i="1"/>
  <c r="L1007" i="1" s="1"/>
  <c r="M1007" i="1" s="1"/>
  <c r="K1008" i="1"/>
  <c r="L1008" i="1" s="1"/>
  <c r="M1008" i="1" s="1"/>
  <c r="K1009" i="1"/>
  <c r="L1009" i="1" s="1"/>
  <c r="M1009" i="1" s="1"/>
  <c r="K1010" i="1"/>
  <c r="L1010" i="1" s="1"/>
  <c r="M1010" i="1" s="1"/>
  <c r="K1011" i="1"/>
  <c r="L1011" i="1" s="1"/>
  <c r="M1011" i="1" s="1"/>
  <c r="K1012" i="1"/>
  <c r="L1012" i="1" s="1"/>
  <c r="M1012" i="1" s="1"/>
  <c r="K1013" i="1"/>
  <c r="L1013" i="1" s="1"/>
  <c r="M1013" i="1" s="1"/>
  <c r="K1014" i="1"/>
  <c r="L1014" i="1" s="1"/>
  <c r="M1014" i="1" s="1"/>
  <c r="K1015" i="1"/>
  <c r="L1015" i="1" s="1"/>
  <c r="M1015" i="1" s="1"/>
  <c r="K1160" i="1"/>
  <c r="L1160" i="1" s="1"/>
  <c r="M1160" i="1" s="1"/>
  <c r="K1166" i="1"/>
  <c r="L1166" i="1" s="1"/>
  <c r="M1166" i="1" s="1"/>
  <c r="K1170" i="1"/>
  <c r="L1170" i="1" s="1"/>
  <c r="M1170" i="1" s="1"/>
  <c r="K1174" i="1"/>
  <c r="L1174" i="1" s="1"/>
  <c r="M1174" i="1" s="1"/>
  <c r="K1178" i="1"/>
  <c r="L1178" i="1" s="1"/>
  <c r="M1178" i="1" s="1"/>
  <c r="K1181" i="1"/>
  <c r="L1181" i="1" s="1"/>
  <c r="M1181" i="1" s="1"/>
  <c r="K1185" i="1"/>
  <c r="L1185" i="1" s="1"/>
  <c r="M1185" i="1" s="1"/>
  <c r="K1189" i="1"/>
  <c r="L1189" i="1" s="1"/>
  <c r="M1189" i="1" s="1"/>
  <c r="K1191" i="1"/>
  <c r="L1191" i="1" s="1"/>
  <c r="M1191" i="1" s="1"/>
  <c r="K1016" i="1"/>
  <c r="L1016" i="1" s="1"/>
  <c r="M1016" i="1" s="1"/>
  <c r="K1017" i="1"/>
  <c r="L1017" i="1" s="1"/>
  <c r="M1017" i="1" s="1"/>
  <c r="K1018" i="1"/>
  <c r="L1018" i="1" s="1"/>
  <c r="M1018" i="1" s="1"/>
  <c r="K1019" i="1"/>
  <c r="L1019" i="1" s="1"/>
  <c r="M1019" i="1" s="1"/>
  <c r="K1020" i="1"/>
  <c r="L1020" i="1" s="1"/>
  <c r="M1020" i="1" s="1"/>
  <c r="K1021" i="1"/>
  <c r="L1021" i="1" s="1"/>
  <c r="M1021" i="1" s="1"/>
  <c r="K1022" i="1"/>
  <c r="L1022" i="1" s="1"/>
  <c r="M1022" i="1" s="1"/>
  <c r="K1023" i="1"/>
  <c r="L1023" i="1" s="1"/>
  <c r="M1023" i="1" s="1"/>
  <c r="K1024" i="1"/>
  <c r="L1024" i="1" s="1"/>
  <c r="M1024" i="1" s="1"/>
  <c r="K1025" i="1"/>
  <c r="L1025" i="1" s="1"/>
  <c r="M1025" i="1" s="1"/>
  <c r="K1026" i="1"/>
  <c r="L1026" i="1" s="1"/>
  <c r="M1026" i="1" s="1"/>
  <c r="K1027" i="1"/>
  <c r="L1027" i="1" s="1"/>
  <c r="M1027" i="1" s="1"/>
  <c r="K1028" i="1"/>
  <c r="L1028" i="1" s="1"/>
  <c r="M1028" i="1" s="1"/>
  <c r="K1029" i="1"/>
  <c r="L1029" i="1" s="1"/>
  <c r="M1029" i="1" s="1"/>
  <c r="K1030" i="1"/>
  <c r="L1030" i="1" s="1"/>
  <c r="M1030" i="1" s="1"/>
  <c r="K1031" i="1"/>
  <c r="L1031" i="1" s="1"/>
  <c r="M1031" i="1" s="1"/>
  <c r="K1032" i="1"/>
  <c r="L1032" i="1" s="1"/>
  <c r="M1032" i="1" s="1"/>
  <c r="K1033" i="1"/>
  <c r="L1033" i="1" s="1"/>
  <c r="M1033" i="1" s="1"/>
  <c r="K1034" i="1"/>
  <c r="L1034" i="1" s="1"/>
  <c r="M1034" i="1" s="1"/>
  <c r="K1035" i="1"/>
  <c r="L1035" i="1" s="1"/>
  <c r="M1035" i="1" s="1"/>
  <c r="K1036" i="1"/>
  <c r="L1036" i="1" s="1"/>
  <c r="M1036" i="1" s="1"/>
  <c r="K1037" i="1"/>
  <c r="L1037" i="1" s="1"/>
  <c r="M1037" i="1" s="1"/>
  <c r="K1038" i="1"/>
  <c r="L1038" i="1" s="1"/>
  <c r="M1038" i="1" s="1"/>
  <c r="K1039" i="1"/>
  <c r="L1039" i="1" s="1"/>
  <c r="M1039" i="1" s="1"/>
  <c r="K1040" i="1"/>
  <c r="L1040" i="1" s="1"/>
  <c r="M1040" i="1" s="1"/>
  <c r="K1041" i="1"/>
  <c r="L1041" i="1" s="1"/>
  <c r="M1041" i="1" s="1"/>
  <c r="K1042" i="1"/>
  <c r="L1042" i="1" s="1"/>
  <c r="M1042" i="1" s="1"/>
  <c r="K1043" i="1"/>
  <c r="L1043" i="1" s="1"/>
  <c r="M1043" i="1" s="1"/>
  <c r="K1044" i="1"/>
  <c r="L1044" i="1" s="1"/>
  <c r="M1044" i="1" s="1"/>
  <c r="K1045" i="1"/>
  <c r="L1045" i="1" s="1"/>
  <c r="M1045" i="1" s="1"/>
  <c r="K1046" i="1"/>
  <c r="L1046" i="1" s="1"/>
  <c r="M1046" i="1" s="1"/>
  <c r="K1047" i="1"/>
  <c r="L1047" i="1" s="1"/>
  <c r="M1047" i="1" s="1"/>
  <c r="K1048" i="1"/>
  <c r="L1048" i="1" s="1"/>
  <c r="M1048" i="1" s="1"/>
  <c r="K1049" i="1"/>
  <c r="L1049" i="1" s="1"/>
  <c r="M1049" i="1" s="1"/>
  <c r="K1050" i="1"/>
  <c r="L1050" i="1" s="1"/>
  <c r="M1050" i="1" s="1"/>
  <c r="K1051" i="1"/>
  <c r="L1051" i="1" s="1"/>
  <c r="M1051" i="1" s="1"/>
  <c r="K1052" i="1"/>
  <c r="L1052" i="1" s="1"/>
  <c r="M1052" i="1" s="1"/>
  <c r="K1053" i="1"/>
  <c r="L1053" i="1" s="1"/>
  <c r="M1053" i="1" s="1"/>
  <c r="K1054" i="1"/>
  <c r="L1054" i="1" s="1"/>
  <c r="M1054" i="1" s="1"/>
  <c r="K1055" i="1"/>
  <c r="L1055" i="1" s="1"/>
  <c r="M1055" i="1" s="1"/>
  <c r="K1056" i="1"/>
  <c r="L1056" i="1" s="1"/>
  <c r="M1056" i="1" s="1"/>
  <c r="K1057" i="1"/>
  <c r="L1057" i="1" s="1"/>
  <c r="M1057" i="1" s="1"/>
  <c r="K1058" i="1"/>
  <c r="L1058" i="1" s="1"/>
  <c r="M1058" i="1" s="1"/>
  <c r="K1059" i="1"/>
  <c r="L1059" i="1" s="1"/>
  <c r="M1059" i="1" s="1"/>
  <c r="K1060" i="1"/>
  <c r="L1060" i="1" s="1"/>
  <c r="M1060" i="1" s="1"/>
  <c r="K1061" i="1"/>
  <c r="L1061" i="1" s="1"/>
  <c r="M1061" i="1" s="1"/>
  <c r="K1062" i="1"/>
  <c r="L1062" i="1" s="1"/>
  <c r="M1062" i="1" s="1"/>
  <c r="K1063" i="1"/>
  <c r="L1063" i="1" s="1"/>
  <c r="M1063" i="1" s="1"/>
  <c r="K1064" i="1"/>
  <c r="L1064" i="1" s="1"/>
  <c r="M1064" i="1" s="1"/>
  <c r="K1065" i="1"/>
  <c r="L1065" i="1" s="1"/>
  <c r="M1065" i="1" s="1"/>
  <c r="K1066" i="1"/>
  <c r="L1066" i="1" s="1"/>
  <c r="M1066" i="1" s="1"/>
  <c r="K1067" i="1"/>
  <c r="L1067" i="1" s="1"/>
  <c r="M1067" i="1" s="1"/>
  <c r="K1068" i="1"/>
  <c r="L1068" i="1" s="1"/>
  <c r="M1068" i="1" s="1"/>
  <c r="K1069" i="1"/>
  <c r="L1069" i="1" s="1"/>
  <c r="M1069" i="1" s="1"/>
  <c r="K1070" i="1"/>
  <c r="L1070" i="1" s="1"/>
  <c r="M1070" i="1" s="1"/>
  <c r="K1071" i="1"/>
  <c r="L1071" i="1" s="1"/>
  <c r="M1071" i="1" s="1"/>
  <c r="K1072" i="1"/>
  <c r="L1072" i="1" s="1"/>
  <c r="M1072" i="1" s="1"/>
  <c r="K1073" i="1"/>
  <c r="L1073" i="1" s="1"/>
  <c r="M1073" i="1" s="1"/>
  <c r="K1074" i="1"/>
  <c r="L1074" i="1" s="1"/>
  <c r="M1074" i="1" s="1"/>
  <c r="K1075" i="1"/>
  <c r="L1075" i="1" s="1"/>
  <c r="M1075" i="1" s="1"/>
  <c r="K1076" i="1"/>
  <c r="L1076" i="1" s="1"/>
  <c r="M1076" i="1" s="1"/>
  <c r="K1077" i="1"/>
  <c r="L1077" i="1" s="1"/>
  <c r="M1077" i="1" s="1"/>
  <c r="K1078" i="1"/>
  <c r="L1078" i="1" s="1"/>
  <c r="M1078" i="1" s="1"/>
  <c r="K1079" i="1"/>
  <c r="L1079" i="1" s="1"/>
  <c r="M1079" i="1" s="1"/>
  <c r="K1080" i="1"/>
  <c r="L1080" i="1" s="1"/>
  <c r="M1080" i="1" s="1"/>
  <c r="K1081" i="1"/>
  <c r="L1081" i="1" s="1"/>
  <c r="M1081" i="1" s="1"/>
  <c r="K1082" i="1"/>
  <c r="L1082" i="1" s="1"/>
  <c r="M1082" i="1" s="1"/>
  <c r="K1083" i="1"/>
  <c r="L1083" i="1" s="1"/>
  <c r="M1083" i="1" s="1"/>
  <c r="K1084" i="1"/>
  <c r="L1084" i="1" s="1"/>
  <c r="M1084" i="1" s="1"/>
  <c r="K1085" i="1"/>
  <c r="L1085" i="1" s="1"/>
  <c r="M1085" i="1" s="1"/>
  <c r="K1086" i="1"/>
  <c r="L1086" i="1" s="1"/>
  <c r="M1086" i="1" s="1"/>
  <c r="K1087" i="1"/>
  <c r="L1087" i="1" s="1"/>
  <c r="M1087" i="1" s="1"/>
  <c r="K1088" i="1"/>
  <c r="L1088" i="1" s="1"/>
  <c r="M1088" i="1" s="1"/>
  <c r="K1089" i="1"/>
  <c r="L1089" i="1" s="1"/>
  <c r="M1089" i="1" s="1"/>
  <c r="K1090" i="1"/>
  <c r="L1090" i="1" s="1"/>
  <c r="M1090" i="1" s="1"/>
  <c r="K1092" i="1"/>
  <c r="L1092" i="1" s="1"/>
  <c r="M1092" i="1" s="1"/>
  <c r="K1132" i="1"/>
  <c r="L1132" i="1" s="1"/>
  <c r="M1132" i="1" s="1"/>
  <c r="K1135" i="1"/>
  <c r="L1135" i="1" s="1"/>
  <c r="M1135" i="1" s="1"/>
  <c r="K1137" i="1"/>
  <c r="L1137" i="1" s="1"/>
  <c r="M1137" i="1" s="1"/>
  <c r="K1140" i="1"/>
  <c r="L1140" i="1" s="1"/>
  <c r="M1140" i="1" s="1"/>
  <c r="K1143" i="1"/>
  <c r="L1143" i="1" s="1"/>
  <c r="M1143" i="1" s="1"/>
  <c r="K1144" i="1"/>
  <c r="L1144" i="1" s="1"/>
  <c r="M1144" i="1" s="1"/>
  <c r="K1146" i="1"/>
  <c r="L1146" i="1" s="1"/>
  <c r="M1146" i="1" s="1"/>
  <c r="K1148" i="1"/>
  <c r="L1148" i="1" s="1"/>
  <c r="M1148" i="1" s="1"/>
  <c r="K1149" i="1"/>
  <c r="L1149" i="1" s="1"/>
  <c r="M1149" i="1" s="1"/>
  <c r="K1151" i="1"/>
  <c r="L1151" i="1" s="1"/>
  <c r="M1151" i="1" s="1"/>
  <c r="K1154" i="1"/>
  <c r="L1154" i="1" s="1"/>
  <c r="M1154" i="1" s="1"/>
  <c r="K1156" i="1"/>
  <c r="L1156" i="1" s="1"/>
  <c r="M1156" i="1" s="1"/>
  <c r="K1158" i="1"/>
  <c r="L1158" i="1" s="1"/>
  <c r="M1158" i="1" s="1"/>
  <c r="K1159" i="1"/>
  <c r="L1159" i="1" s="1"/>
  <c r="M1159" i="1" s="1"/>
  <c r="K1162" i="1"/>
  <c r="L1162" i="1" s="1"/>
  <c r="M1162" i="1" s="1"/>
  <c r="K1164" i="1"/>
  <c r="L1164" i="1" s="1"/>
  <c r="M1164" i="1" s="1"/>
  <c r="K1165" i="1"/>
  <c r="L1165" i="1" s="1"/>
  <c r="M1165" i="1" s="1"/>
  <c r="K1168" i="1"/>
  <c r="L1168" i="1" s="1"/>
  <c r="M1168" i="1" s="1"/>
  <c r="K1171" i="1"/>
  <c r="L1171" i="1" s="1"/>
  <c r="M1171" i="1" s="1"/>
  <c r="K1172" i="1"/>
  <c r="L1172" i="1" s="1"/>
  <c r="M1172" i="1" s="1"/>
  <c r="K1175" i="1"/>
  <c r="L1175" i="1" s="1"/>
  <c r="M1175" i="1" s="1"/>
  <c r="K1176" i="1"/>
  <c r="L1176" i="1" s="1"/>
  <c r="M1176" i="1" s="1"/>
  <c r="K1179" i="1"/>
  <c r="L1179" i="1" s="1"/>
  <c r="M1179" i="1" s="1"/>
  <c r="K1182" i="1"/>
  <c r="L1182" i="1" s="1"/>
  <c r="M1182" i="1" s="1"/>
  <c r="K1183" i="1"/>
  <c r="L1183" i="1" s="1"/>
  <c r="M1183" i="1" s="1"/>
  <c r="K1186" i="1"/>
  <c r="L1186" i="1" s="1"/>
  <c r="M1186" i="1" s="1"/>
  <c r="K1187" i="1"/>
  <c r="L1187" i="1" s="1"/>
  <c r="M1187" i="1" s="1"/>
  <c r="K1190" i="1"/>
  <c r="L1190" i="1" s="1"/>
  <c r="M1190" i="1" s="1"/>
  <c r="K1193" i="1"/>
  <c r="L1193" i="1" s="1"/>
  <c r="M1193" i="1" s="1"/>
  <c r="K1194" i="1"/>
  <c r="L1194" i="1" s="1"/>
  <c r="M1194" i="1" s="1"/>
  <c r="K1196" i="1"/>
  <c r="L1196" i="1" s="1"/>
  <c r="M1196" i="1" s="1"/>
  <c r="K1197" i="1"/>
  <c r="L1197" i="1" s="1"/>
  <c r="M1197" i="1" s="1"/>
  <c r="K1198" i="1"/>
  <c r="L1198" i="1" s="1"/>
  <c r="M1198" i="1" s="1"/>
  <c r="K1199" i="1"/>
  <c r="L1199" i="1" s="1"/>
  <c r="M1199" i="1" s="1"/>
  <c r="K1200" i="1"/>
  <c r="L1200" i="1" s="1"/>
  <c r="M1200" i="1" s="1"/>
  <c r="K1201" i="1"/>
  <c r="L1201" i="1" s="1"/>
  <c r="M1201" i="1" s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B16" i="4"/>
  <c r="B15" i="4"/>
  <c r="C5" i="8"/>
  <c r="H5" i="8"/>
  <c r="F5" i="8"/>
  <c r="E5" i="8"/>
  <c r="D5" i="8"/>
  <c r="N5" i="8"/>
  <c r="B6" i="8"/>
  <c r="A6" i="8" s="1"/>
  <c r="C13" i="4"/>
  <c r="C17" i="4" s="1"/>
  <c r="B14" i="4"/>
  <c r="F16" i="4"/>
  <c r="E16" i="4"/>
  <c r="E7" i="4"/>
  <c r="D7" i="4"/>
  <c r="C7" i="4"/>
  <c r="C16" i="4"/>
  <c r="D16" i="4"/>
  <c r="B7" i="4"/>
  <c r="F7" i="4"/>
  <c r="C14" i="4"/>
  <c r="F14" i="4"/>
  <c r="E14" i="4"/>
  <c r="D14" i="4"/>
  <c r="F5" i="4"/>
  <c r="D5" i="4"/>
  <c r="C5" i="4"/>
  <c r="E5" i="4"/>
  <c r="B5" i="4"/>
  <c r="D15" i="4"/>
  <c r="C15" i="4"/>
  <c r="F15" i="4"/>
  <c r="E15" i="4"/>
  <c r="D6" i="4"/>
  <c r="E6" i="4"/>
  <c r="C6" i="4"/>
  <c r="B6" i="4"/>
  <c r="F6" i="4"/>
  <c r="D13" i="4"/>
  <c r="D17" i="4" s="1"/>
  <c r="E13" i="4"/>
  <c r="E17" i="4" s="1"/>
  <c r="F13" i="4"/>
  <c r="F17" i="4" s="1"/>
  <c r="C4" i="4"/>
  <c r="C8" i="4" s="1"/>
  <c r="D4" i="4"/>
  <c r="D8" i="4" s="1"/>
  <c r="E4" i="4"/>
  <c r="E8" i="4" s="1"/>
  <c r="F4" i="4"/>
  <c r="F8" i="4" s="1"/>
  <c r="B4" i="4"/>
  <c r="B8" i="4" s="1"/>
  <c r="G225" i="1"/>
  <c r="G229" i="1"/>
  <c r="G231" i="1"/>
  <c r="G233" i="1"/>
  <c r="G235" i="1"/>
  <c r="G237" i="1"/>
  <c r="G239" i="1"/>
  <c r="G241" i="1"/>
  <c r="G243" i="1"/>
  <c r="G245" i="1"/>
  <c r="G247" i="1"/>
  <c r="G249" i="1"/>
  <c r="G251" i="1"/>
  <c r="G253" i="1"/>
  <c r="G255" i="1"/>
  <c r="G258" i="1"/>
  <c r="G260" i="1"/>
  <c r="G261" i="1"/>
  <c r="G263" i="1"/>
  <c r="G265" i="1"/>
  <c r="G268" i="1"/>
  <c r="G270" i="1"/>
  <c r="G272" i="1"/>
  <c r="G274" i="1"/>
  <c r="G276" i="1"/>
  <c r="G278" i="1"/>
  <c r="G280" i="1"/>
  <c r="G282" i="1"/>
  <c r="G284" i="1"/>
  <c r="G286" i="1"/>
  <c r="G288" i="1"/>
  <c r="G290" i="1"/>
  <c r="G292" i="1"/>
  <c r="G294" i="1"/>
  <c r="G296" i="1"/>
  <c r="G298" i="1"/>
  <c r="G300" i="1"/>
  <c r="G302" i="1"/>
  <c r="G304" i="1"/>
  <c r="G306" i="1"/>
  <c r="G308" i="1"/>
  <c r="G310" i="1"/>
  <c r="G312" i="1"/>
  <c r="G314" i="1"/>
  <c r="G316" i="1"/>
  <c r="G318" i="1"/>
  <c r="G226" i="1"/>
  <c r="G227" i="1"/>
  <c r="G228" i="1"/>
  <c r="G230" i="1"/>
  <c r="G232" i="1"/>
  <c r="G234" i="1"/>
  <c r="G236" i="1"/>
  <c r="G238" i="1"/>
  <c r="G240" i="1"/>
  <c r="G242" i="1"/>
  <c r="G244" i="1"/>
  <c r="G246" i="1"/>
  <c r="G248" i="1"/>
  <c r="G250" i="1"/>
  <c r="G252" i="1"/>
  <c r="G254" i="1"/>
  <c r="G256" i="1"/>
  <c r="G257" i="1"/>
  <c r="G259" i="1"/>
  <c r="G262" i="1"/>
  <c r="G264" i="1"/>
  <c r="G266" i="1"/>
  <c r="G267" i="1"/>
  <c r="G269" i="1"/>
  <c r="G271" i="1"/>
  <c r="G273" i="1"/>
  <c r="G275" i="1"/>
  <c r="G277" i="1"/>
  <c r="G279" i="1"/>
  <c r="G281" i="1"/>
  <c r="G283" i="1"/>
  <c r="G285" i="1"/>
  <c r="G287" i="1"/>
  <c r="G289" i="1"/>
  <c r="G291" i="1"/>
  <c r="G293" i="1"/>
  <c r="G295" i="1"/>
  <c r="G297" i="1"/>
  <c r="G299" i="1"/>
  <c r="G301" i="1"/>
  <c r="G303" i="1"/>
  <c r="G305" i="1"/>
  <c r="G307" i="1"/>
  <c r="G309" i="1"/>
  <c r="G311" i="1"/>
  <c r="G313" i="1"/>
  <c r="G315" i="1"/>
  <c r="G317" i="1"/>
  <c r="G319" i="1"/>
  <c r="G4" i="1"/>
  <c r="G5" i="1"/>
  <c r="G7" i="1"/>
  <c r="B15" i="6" s="1"/>
  <c r="G10" i="1"/>
  <c r="G13" i="1"/>
  <c r="G16" i="1"/>
  <c r="G18" i="1"/>
  <c r="G20" i="1"/>
  <c r="G22" i="1"/>
  <c r="G24" i="1"/>
  <c r="G27" i="1"/>
  <c r="G29" i="1"/>
  <c r="G32" i="1"/>
  <c r="G34" i="1"/>
  <c r="G36" i="1"/>
  <c r="G39" i="1"/>
  <c r="G48" i="1"/>
  <c r="G50" i="1"/>
  <c r="G53" i="1"/>
  <c r="G56" i="1"/>
  <c r="G58" i="1"/>
  <c r="G59" i="1"/>
  <c r="G60" i="1"/>
  <c r="G61" i="1"/>
  <c r="G62" i="1"/>
  <c r="G63" i="1"/>
  <c r="G64" i="1"/>
  <c r="G65" i="1"/>
  <c r="G66" i="1"/>
  <c r="G67" i="1"/>
  <c r="G69" i="1"/>
  <c r="G70" i="1"/>
  <c r="G73" i="1"/>
  <c r="G75" i="1"/>
  <c r="G78" i="1"/>
  <c r="G80" i="1"/>
  <c r="G82" i="1"/>
  <c r="G84" i="1"/>
  <c r="G87" i="1"/>
  <c r="G89" i="1"/>
  <c r="G91" i="1"/>
  <c r="G94" i="1"/>
  <c r="G97" i="1"/>
  <c r="G100" i="1"/>
  <c r="G102" i="1"/>
  <c r="G105" i="1"/>
  <c r="G108" i="1"/>
  <c r="G110" i="1"/>
  <c r="G113" i="1"/>
  <c r="G115" i="1"/>
  <c r="G118" i="1"/>
  <c r="G120" i="1"/>
  <c r="G122" i="1"/>
  <c r="G124" i="1"/>
  <c r="G127" i="1"/>
  <c r="G129" i="1"/>
  <c r="G131" i="1"/>
  <c r="G134" i="1"/>
  <c r="G137" i="1"/>
  <c r="G139" i="1"/>
  <c r="G141" i="1"/>
  <c r="G144" i="1"/>
  <c r="G147" i="1"/>
  <c r="G149" i="1"/>
  <c r="G152" i="1"/>
  <c r="G154" i="1"/>
  <c r="G155" i="1"/>
  <c r="G156" i="1"/>
  <c r="G157" i="1"/>
  <c r="G158" i="1"/>
  <c r="G159" i="1"/>
  <c r="G162" i="1"/>
  <c r="G164" i="1"/>
  <c r="G167" i="1"/>
  <c r="G217" i="1"/>
  <c r="G222" i="1"/>
  <c r="G3" i="1"/>
  <c r="B14" i="6" s="1"/>
  <c r="G6" i="1"/>
  <c r="G8" i="1"/>
  <c r="G9" i="1"/>
  <c r="G11" i="1"/>
  <c r="G12" i="1"/>
  <c r="G14" i="1"/>
  <c r="G15" i="1"/>
  <c r="G17" i="1"/>
  <c r="G19" i="1"/>
  <c r="G21" i="1"/>
  <c r="G23" i="1"/>
  <c r="G25" i="1"/>
  <c r="G26" i="1"/>
  <c r="G28" i="1"/>
  <c r="G30" i="1"/>
  <c r="G31" i="1"/>
  <c r="G33" i="1"/>
  <c r="G35" i="1"/>
  <c r="G37" i="1"/>
  <c r="G38" i="1"/>
  <c r="G40" i="1"/>
  <c r="G41" i="1"/>
  <c r="G42" i="1"/>
  <c r="G43" i="1"/>
  <c r="G44" i="1"/>
  <c r="G45" i="1"/>
  <c r="G46" i="1"/>
  <c r="G47" i="1"/>
  <c r="G49" i="1"/>
  <c r="G51" i="1"/>
  <c r="G52" i="1"/>
  <c r="G54" i="1"/>
  <c r="G55" i="1"/>
  <c r="G57" i="1"/>
  <c r="G68" i="1"/>
  <c r="G71" i="1"/>
  <c r="G72" i="1"/>
  <c r="G74" i="1"/>
  <c r="G76" i="1"/>
  <c r="G77" i="1"/>
  <c r="G79" i="1"/>
  <c r="G81" i="1"/>
  <c r="G83" i="1"/>
  <c r="G85" i="1"/>
  <c r="G86" i="1"/>
  <c r="G88" i="1"/>
  <c r="G90" i="1"/>
  <c r="G92" i="1"/>
  <c r="G93" i="1"/>
  <c r="G95" i="1"/>
  <c r="G96" i="1"/>
  <c r="G98" i="1"/>
  <c r="G99" i="1"/>
  <c r="G101" i="1"/>
  <c r="G103" i="1"/>
  <c r="G104" i="1"/>
  <c r="G106" i="1"/>
  <c r="G107" i="1"/>
  <c r="G109" i="1"/>
  <c r="G111" i="1"/>
  <c r="G112" i="1"/>
  <c r="G114" i="1"/>
  <c r="G116" i="1"/>
  <c r="G117" i="1"/>
  <c r="G119" i="1"/>
  <c r="G121" i="1"/>
  <c r="G123" i="1"/>
  <c r="G125" i="1"/>
  <c r="G126" i="1"/>
  <c r="G128" i="1"/>
  <c r="G130" i="1"/>
  <c r="G132" i="1"/>
  <c r="G133" i="1"/>
  <c r="G135" i="1"/>
  <c r="G136" i="1"/>
  <c r="G138" i="1"/>
  <c r="G140" i="1"/>
  <c r="G142" i="1"/>
  <c r="G143" i="1"/>
  <c r="G145" i="1"/>
  <c r="G146" i="1"/>
  <c r="G148" i="1"/>
  <c r="G150" i="1"/>
  <c r="G151" i="1"/>
  <c r="G153" i="1"/>
  <c r="G160" i="1"/>
  <c r="G161" i="1"/>
  <c r="G163" i="1"/>
  <c r="G165" i="1"/>
  <c r="G166" i="1"/>
  <c r="G168" i="1"/>
  <c r="G169" i="1"/>
  <c r="G218" i="1"/>
  <c r="G221" i="1"/>
  <c r="G224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9" i="1"/>
  <c r="G220" i="1"/>
  <c r="G223" i="1"/>
  <c r="G2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C4" i="9" l="1"/>
  <c r="H17" i="4"/>
  <c r="H8" i="4"/>
  <c r="C8" i="10"/>
  <c r="F8" i="10" s="1"/>
  <c r="G8" i="10" s="1"/>
  <c r="C14" i="9"/>
  <c r="M25" i="13" s="1"/>
  <c r="D4" i="9"/>
  <c r="D5" i="9"/>
  <c r="C15" i="9"/>
  <c r="M26" i="13" s="1"/>
  <c r="C16" i="9"/>
  <c r="M27" i="13" s="1"/>
  <c r="B18" i="9" a="1"/>
  <c r="C3" i="9"/>
  <c r="B15" i="9"/>
  <c r="L26" i="13" s="1"/>
  <c r="C5" i="9"/>
  <c r="G4" i="7"/>
  <c r="G2" i="7"/>
  <c r="G6" i="7" s="1"/>
  <c r="G7" i="7" s="1"/>
  <c r="G5" i="7"/>
  <c r="G3" i="7"/>
  <c r="H1155" i="1" a="1"/>
  <c r="I1155" i="1" s="1"/>
  <c r="H1149" i="1" a="1"/>
  <c r="I1149" i="1" s="1"/>
  <c r="H1142" i="1" a="1"/>
  <c r="I1142" i="1" s="1"/>
  <c r="H1136" i="1" a="1"/>
  <c r="I1136" i="1" s="1"/>
  <c r="H1130" i="1" a="1"/>
  <c r="I1130" i="1" s="1"/>
  <c r="H1125" i="1" a="1"/>
  <c r="I1125" i="1" s="1"/>
  <c r="H1117" i="1" a="1"/>
  <c r="I1117" i="1" s="1"/>
  <c r="H1111" i="1" a="1"/>
  <c r="I1111" i="1" s="1"/>
  <c r="H1105" i="1" a="1"/>
  <c r="I1105" i="1" s="1"/>
  <c r="H1100" i="1" a="1"/>
  <c r="I1100" i="1" s="1"/>
  <c r="H1095" i="1" a="1"/>
  <c r="I1095" i="1" s="1"/>
  <c r="H1089" i="1" a="1"/>
  <c r="I1089" i="1" s="1"/>
  <c r="H1083" i="1" a="1"/>
  <c r="I1083" i="1" s="1"/>
  <c r="H1078" i="1" a="1"/>
  <c r="I1078" i="1" s="1"/>
  <c r="H1073" i="1" a="1"/>
  <c r="I1073" i="1" s="1"/>
  <c r="H1068" i="1" a="1"/>
  <c r="I1068" i="1" s="1"/>
  <c r="H1063" i="1" a="1"/>
  <c r="I1063" i="1" s="1"/>
  <c r="H1058" i="1" a="1"/>
  <c r="I1058" i="1" s="1"/>
  <c r="H1053" i="1" a="1"/>
  <c r="I1053" i="1" s="1"/>
  <c r="H1048" i="1" a="1"/>
  <c r="I1048" i="1" s="1"/>
  <c r="H1044" i="1" a="1"/>
  <c r="I1044" i="1" s="1"/>
  <c r="H1038" i="1" a="1"/>
  <c r="I1038" i="1" s="1"/>
  <c r="H1033" i="1" a="1"/>
  <c r="I1033" i="1" s="1"/>
  <c r="H1028" i="1" a="1"/>
  <c r="I1028" i="1" s="1"/>
  <c r="H1023" i="1" a="1"/>
  <c r="I1023" i="1" s="1"/>
  <c r="H1018" i="1" a="1"/>
  <c r="I1018" i="1" s="1"/>
  <c r="H1013" i="1" a="1"/>
  <c r="I1013" i="1" s="1"/>
  <c r="H1007" i="1" a="1"/>
  <c r="I1007" i="1" s="1"/>
  <c r="H1002" i="1" a="1"/>
  <c r="I1002" i="1" s="1"/>
  <c r="H996" i="1" a="1"/>
  <c r="I996" i="1" s="1"/>
  <c r="H989" i="1" a="1"/>
  <c r="I989" i="1" s="1"/>
  <c r="H985" i="1" a="1"/>
  <c r="I985" i="1" s="1"/>
  <c r="H980" i="1" a="1"/>
  <c r="I980" i="1" s="1"/>
  <c r="H975" i="1" a="1"/>
  <c r="I975" i="1" s="1"/>
  <c r="H970" i="1" a="1"/>
  <c r="I970" i="1" s="1"/>
  <c r="H965" i="1" a="1"/>
  <c r="I965" i="1" s="1"/>
  <c r="H960" i="1" a="1"/>
  <c r="I960" i="1" s="1"/>
  <c r="H949" i="1" a="1"/>
  <c r="I949" i="1" s="1"/>
  <c r="H944" i="1" a="1"/>
  <c r="I944" i="1" s="1"/>
  <c r="H939" i="1" a="1"/>
  <c r="I939" i="1" s="1"/>
  <c r="H934" i="1" a="1"/>
  <c r="I934" i="1" s="1"/>
  <c r="H929" i="1" a="1"/>
  <c r="I929" i="1" s="1"/>
  <c r="H923" i="1" a="1"/>
  <c r="I923" i="1" s="1"/>
  <c r="H918" i="1" a="1"/>
  <c r="I918" i="1" s="1"/>
  <c r="H912" i="1" a="1"/>
  <c r="I912" i="1" s="1"/>
  <c r="H908" i="1" a="1"/>
  <c r="I908" i="1" s="1"/>
  <c r="H903" i="1" a="1"/>
  <c r="I903" i="1" s="1"/>
  <c r="H898" i="1" a="1"/>
  <c r="I898" i="1" s="1"/>
  <c r="H893" i="1" a="1"/>
  <c r="I893" i="1" s="1"/>
  <c r="H888" i="1" a="1"/>
  <c r="I888" i="1" s="1"/>
  <c r="H883" i="1" a="1"/>
  <c r="I883" i="1" s="1"/>
  <c r="H878" i="1" a="1"/>
  <c r="I878" i="1" s="1"/>
  <c r="H872" i="1" a="1"/>
  <c r="I872" i="1" s="1"/>
  <c r="H867" i="1" a="1"/>
  <c r="I867" i="1" s="1"/>
  <c r="H863" i="1" a="1"/>
  <c r="I863" i="1" s="1"/>
  <c r="H858" i="1" a="1"/>
  <c r="I858" i="1" s="1"/>
  <c r="H854" i="1" a="1"/>
  <c r="I854" i="1" s="1"/>
  <c r="H849" i="1" a="1"/>
  <c r="I849" i="1" s="1"/>
  <c r="H844" i="1" a="1"/>
  <c r="I844" i="1" s="1"/>
  <c r="H839" i="1" a="1"/>
  <c r="I839" i="1" s="1"/>
  <c r="H834" i="1" a="1"/>
  <c r="I834" i="1" s="1"/>
  <c r="H830" i="1" a="1"/>
  <c r="I830" i="1" s="1"/>
  <c r="H826" i="1" a="1"/>
  <c r="I826" i="1" s="1"/>
  <c r="H821" i="1" a="1"/>
  <c r="I821" i="1" s="1"/>
  <c r="H816" i="1" a="1"/>
  <c r="I816" i="1" s="1"/>
  <c r="H810" i="1" a="1"/>
  <c r="I810" i="1" s="1"/>
  <c r="H805" i="1" a="1"/>
  <c r="I805" i="1" s="1"/>
  <c r="H800" i="1" a="1"/>
  <c r="I800" i="1" s="1"/>
  <c r="H795" i="1" a="1"/>
  <c r="I795" i="1" s="1"/>
  <c r="H790" i="1" a="1"/>
  <c r="I790" i="1" s="1"/>
  <c r="H785" i="1" a="1"/>
  <c r="I785" i="1" s="1"/>
  <c r="H780" i="1" a="1"/>
  <c r="I780" i="1" s="1"/>
  <c r="H774" i="1" a="1"/>
  <c r="I774" i="1" s="1"/>
  <c r="H769" i="1" a="1"/>
  <c r="I769" i="1" s="1"/>
  <c r="H763" i="1" a="1"/>
  <c r="I763" i="1" s="1"/>
  <c r="H759" i="1" a="1"/>
  <c r="I759" i="1" s="1"/>
  <c r="H754" i="1" a="1"/>
  <c r="I754" i="1" s="1"/>
  <c r="H748" i="1" a="1"/>
  <c r="I748" i="1" s="1"/>
  <c r="H744" i="1" a="1"/>
  <c r="I744" i="1" s="1"/>
  <c r="H739" i="1" a="1"/>
  <c r="I739" i="1" s="1"/>
  <c r="H734" i="1" a="1"/>
  <c r="I734" i="1" s="1"/>
  <c r="H729" i="1" a="1"/>
  <c r="I729" i="1" s="1"/>
  <c r="H725" i="1" a="1"/>
  <c r="I725" i="1" s="1"/>
  <c r="H720" i="1" a="1"/>
  <c r="I720" i="1" s="1"/>
  <c r="H715" i="1" a="1"/>
  <c r="I715" i="1" s="1"/>
  <c r="H706" i="1" a="1"/>
  <c r="I706" i="1" s="1"/>
  <c r="H702" i="1" a="1"/>
  <c r="I702" i="1" s="1"/>
  <c r="H696" i="1" a="1"/>
  <c r="I696" i="1" s="1"/>
  <c r="H691" i="1" a="1"/>
  <c r="I691" i="1" s="1"/>
  <c r="H687" i="1" a="1"/>
  <c r="I687" i="1" s="1"/>
  <c r="H682" i="1" a="1"/>
  <c r="I682" i="1" s="1"/>
  <c r="H678" i="1" a="1"/>
  <c r="I678" i="1" s="1"/>
  <c r="H673" i="1" a="1"/>
  <c r="I673" i="1" s="1"/>
  <c r="H543" i="1" a="1"/>
  <c r="I543" i="1" s="1"/>
  <c r="H540" i="1" a="1"/>
  <c r="I540" i="1" s="1"/>
  <c r="H535" i="1" a="1"/>
  <c r="I535" i="1" s="1"/>
  <c r="H532" i="1" a="1"/>
  <c r="I532" i="1" s="1"/>
  <c r="H528" i="1" a="1"/>
  <c r="I528" i="1" s="1"/>
  <c r="H525" i="1" a="1"/>
  <c r="I525" i="1" s="1"/>
  <c r="H521" i="1" a="1"/>
  <c r="I521" i="1" s="1"/>
  <c r="H517" i="1" a="1"/>
  <c r="I517" i="1" s="1"/>
  <c r="H513" i="1" a="1"/>
  <c r="I513" i="1" s="1"/>
  <c r="H509" i="1" a="1"/>
  <c r="I509" i="1" s="1"/>
  <c r="H505" i="1" a="1"/>
  <c r="I505" i="1" s="1"/>
  <c r="H496" i="1" a="1"/>
  <c r="I496" i="1" s="1"/>
  <c r="H482" i="1" a="1"/>
  <c r="I482" i="1" s="1"/>
  <c r="D18" i="3" s="1"/>
  <c r="H479" i="1" a="1"/>
  <c r="I479" i="1" s="1"/>
  <c r="H475" i="1" a="1"/>
  <c r="I475" i="1" s="1"/>
  <c r="H471" i="1" a="1"/>
  <c r="I471" i="1" s="1"/>
  <c r="H454" i="1" a="1"/>
  <c r="I454" i="1" s="1"/>
  <c r="H443" i="1" a="1"/>
  <c r="I443" i="1" s="1"/>
  <c r="H417" i="1" a="1"/>
  <c r="I417" i="1" s="1"/>
  <c r="H407" i="1" a="1"/>
  <c r="I407" i="1" s="1"/>
  <c r="H387" i="1" a="1"/>
  <c r="I387" i="1" s="1"/>
  <c r="H377" i="1" a="1"/>
  <c r="I377" i="1" s="1"/>
  <c r="H356" i="1" a="1"/>
  <c r="I356" i="1" s="1"/>
  <c r="H336" i="1" a="1"/>
  <c r="I336" i="1" s="1"/>
  <c r="H319" i="1" a="1"/>
  <c r="I319" i="1" s="1"/>
  <c r="H299" i="1" a="1"/>
  <c r="I299" i="1" s="1"/>
  <c r="H284" i="1" a="1"/>
  <c r="I284" i="1" s="1"/>
  <c r="H263" i="1" a="1"/>
  <c r="I263" i="1" s="1"/>
  <c r="H246" i="1" a="1"/>
  <c r="I246" i="1" s="1"/>
  <c r="H229" i="1" a="1"/>
  <c r="I229" i="1" s="1"/>
  <c r="H216" i="1" a="1"/>
  <c r="I216" i="1" s="1"/>
  <c r="H1198" i="1" a="1"/>
  <c r="I1198" i="1" s="1"/>
  <c r="H1194" i="1" a="1"/>
  <c r="I1194" i="1" s="1"/>
  <c r="H1192" i="1" a="1"/>
  <c r="I1192" i="1" s="1"/>
  <c r="H1188" i="1" a="1"/>
  <c r="I1188" i="1" s="1"/>
  <c r="H1184" i="1" a="1"/>
  <c r="I1184" i="1" s="1"/>
  <c r="H1180" i="1" a="1"/>
  <c r="I1180" i="1" s="1"/>
  <c r="H1178" i="1" a="1"/>
  <c r="I1178" i="1" s="1"/>
  <c r="H1174" i="1" a="1"/>
  <c r="I1174" i="1" s="1"/>
  <c r="H1171" i="1" a="1"/>
  <c r="I1171" i="1" s="1"/>
  <c r="H1168" i="1" a="1"/>
  <c r="I1168" i="1" s="1"/>
  <c r="H1163" i="1" a="1"/>
  <c r="I1163" i="1" s="1"/>
  <c r="H1161" i="1" a="1"/>
  <c r="I1161" i="1" s="1"/>
  <c r="H1157" i="1" a="1"/>
  <c r="I1157" i="1" s="1"/>
  <c r="H1134" i="1" a="1"/>
  <c r="I1134" i="1" s="1"/>
  <c r="H1108" i="1" a="1"/>
  <c r="I1108" i="1" s="1"/>
  <c r="H1097" i="1" a="1"/>
  <c r="I1097" i="1" s="1"/>
  <c r="H1077" i="1" a="1"/>
  <c r="I1077" i="1" s="1"/>
  <c r="H1057" i="1" a="1"/>
  <c r="I1057" i="1" s="1"/>
  <c r="H1039" i="1" a="1"/>
  <c r="I1039" i="1" s="1"/>
  <c r="H1020" i="1" a="1"/>
  <c r="I1020" i="1" s="1"/>
  <c r="H1000" i="1" a="1"/>
  <c r="I1000" i="1" s="1"/>
  <c r="H983" i="1" a="1"/>
  <c r="I983" i="1" s="1"/>
  <c r="H971" i="1" a="1"/>
  <c r="I971" i="1" s="1"/>
  <c r="H957" i="1" a="1"/>
  <c r="I957" i="1" s="1"/>
  <c r="H936" i="1" a="1"/>
  <c r="I936" i="1" s="1"/>
  <c r="H916" i="1" a="1"/>
  <c r="I916" i="1" s="1"/>
  <c r="H896" i="1" a="1"/>
  <c r="I896" i="1" s="1"/>
  <c r="H881" i="1" a="1"/>
  <c r="I881" i="1" s="1"/>
  <c r="H866" i="1" a="1"/>
  <c r="I866" i="1" s="1"/>
  <c r="H845" i="1" a="1"/>
  <c r="I845" i="1" s="1"/>
  <c r="H827" i="1" a="1"/>
  <c r="I827" i="1" s="1"/>
  <c r="H806" i="1" a="1"/>
  <c r="I806" i="1" s="1"/>
  <c r="H791" i="1" a="1"/>
  <c r="I791" i="1" s="1"/>
  <c r="H641" i="1" a="1"/>
  <c r="I641" i="1" s="1"/>
  <c r="H631" i="1" a="1"/>
  <c r="I631" i="1" s="1"/>
  <c r="H627" i="1" a="1"/>
  <c r="I627" i="1" s="1"/>
  <c r="H622" i="1" a="1"/>
  <c r="I622" i="1" s="1"/>
  <c r="H618" i="1" a="1"/>
  <c r="I618" i="1" s="1"/>
  <c r="H613" i="1" a="1"/>
  <c r="I613" i="1" s="1"/>
  <c r="H609" i="1" a="1"/>
  <c r="I609" i="1" s="1"/>
  <c r="H606" i="1" a="1"/>
  <c r="I606" i="1" s="1"/>
  <c r="H603" i="1" a="1"/>
  <c r="I603" i="1" s="1"/>
  <c r="H600" i="1" a="1"/>
  <c r="I600" i="1" s="1"/>
  <c r="H597" i="1" a="1"/>
  <c r="I597" i="1" s="1"/>
  <c r="H593" i="1" a="1"/>
  <c r="I593" i="1" s="1"/>
  <c r="H589" i="1" a="1"/>
  <c r="I589" i="1" s="1"/>
  <c r="H585" i="1" a="1"/>
  <c r="I585" i="1" s="1"/>
  <c r="H574" i="1" a="1"/>
  <c r="I574" i="1" s="1"/>
  <c r="H570" i="1" a="1"/>
  <c r="I570" i="1" s="1"/>
  <c r="H566" i="1" a="1"/>
  <c r="I566" i="1" s="1"/>
  <c r="H562" i="1" a="1"/>
  <c r="I562" i="1" s="1"/>
  <c r="H558" i="1" a="1"/>
  <c r="I558" i="1" s="1"/>
  <c r="H553" i="1" a="1"/>
  <c r="I553" i="1" s="1"/>
  <c r="H549" i="1" a="1"/>
  <c r="I549" i="1" s="1"/>
  <c r="H24" i="1" a="1"/>
  <c r="I24" i="1" s="1"/>
  <c r="H1133" i="1" a="1"/>
  <c r="I1133" i="1" s="1"/>
  <c r="H1110" i="1" a="1"/>
  <c r="I1110" i="1" s="1"/>
  <c r="H1079" i="1" a="1"/>
  <c r="I1079" i="1" s="1"/>
  <c r="H1059" i="1" a="1"/>
  <c r="I1059" i="1" s="1"/>
  <c r="H1037" i="1" a="1"/>
  <c r="I1037" i="1" s="1"/>
  <c r="H1017" i="1" a="1"/>
  <c r="I1017" i="1" s="1"/>
  <c r="H981" i="1" a="1"/>
  <c r="I981" i="1" s="1"/>
  <c r="H956" i="1" a="1"/>
  <c r="I956" i="1" s="1"/>
  <c r="H938" i="1" a="1"/>
  <c r="I938" i="1" s="1"/>
  <c r="H913" i="1" a="1"/>
  <c r="I913" i="1" s="1"/>
  <c r="H880" i="1" a="1"/>
  <c r="I880" i="1" s="1"/>
  <c r="H848" i="1" a="1"/>
  <c r="I848" i="1" s="1"/>
  <c r="H829" i="1" a="1"/>
  <c r="I829" i="1" s="1"/>
  <c r="H799" i="1" a="1"/>
  <c r="I799" i="1" s="1"/>
  <c r="H773" i="1" a="1"/>
  <c r="I773" i="1" s="1"/>
  <c r="H747" i="1" a="1"/>
  <c r="I747" i="1" s="1"/>
  <c r="H718" i="1" a="1"/>
  <c r="I718" i="1" s="1"/>
  <c r="H694" i="1" a="1"/>
  <c r="I694" i="1" s="1"/>
  <c r="H541" i="1" a="1"/>
  <c r="I541" i="1" s="1"/>
  <c r="H512" i="1" a="1"/>
  <c r="I512" i="1" s="1"/>
  <c r="H491" i="1" a="1"/>
  <c r="I491" i="1" s="1"/>
  <c r="H472" i="1" a="1"/>
  <c r="I472" i="1" s="1"/>
  <c r="H445" i="1" a="1"/>
  <c r="I445" i="1" s="1"/>
  <c r="H420" i="1" a="1"/>
  <c r="I420" i="1" s="1"/>
  <c r="H388" i="1" a="1"/>
  <c r="I388" i="1" s="1"/>
  <c r="H362" i="1" a="1"/>
  <c r="I362" i="1" s="1"/>
  <c r="H332" i="1" a="1"/>
  <c r="I332" i="1" s="1"/>
  <c r="H300" i="1" a="1"/>
  <c r="I300" i="1" s="1"/>
  <c r="H269" i="1" a="1"/>
  <c r="I269" i="1" s="1"/>
  <c r="H241" i="1" a="1"/>
  <c r="I241" i="1" s="1"/>
  <c r="H218" i="1" a="1"/>
  <c r="I218" i="1" s="1"/>
  <c r="H202" i="1" a="1"/>
  <c r="I202" i="1" s="1"/>
  <c r="H185" i="1" a="1"/>
  <c r="I185" i="1" s="1"/>
  <c r="H166" i="1" a="1"/>
  <c r="I166" i="1" s="1"/>
  <c r="H143" i="1" a="1"/>
  <c r="I143" i="1" s="1"/>
  <c r="H120" i="1" a="1"/>
  <c r="I120" i="1" s="1"/>
  <c r="H103" i="1" a="1"/>
  <c r="I103" i="1" s="1"/>
  <c r="H69" i="1" a="1"/>
  <c r="I69" i="1" s="1"/>
  <c r="H1131" i="1" a="1"/>
  <c r="I1131" i="1" s="1"/>
  <c r="H1093" i="1" a="1"/>
  <c r="I1093" i="1" s="1"/>
  <c r="H414" i="1" a="1"/>
  <c r="I414" i="1" s="1"/>
  <c r="H389" i="1" a="1"/>
  <c r="I389" i="1" s="1"/>
  <c r="H372" i="1" a="1"/>
  <c r="I372" i="1" s="1"/>
  <c r="H359" i="1" a="1"/>
  <c r="I359" i="1" s="1"/>
  <c r="H333" i="1" a="1"/>
  <c r="I333" i="1" s="1"/>
  <c r="H315" i="1" a="1"/>
  <c r="I315" i="1" s="1"/>
  <c r="H298" i="1" a="1"/>
  <c r="I298" i="1" s="1"/>
  <c r="H282" i="1" a="1"/>
  <c r="I282" i="1" s="1"/>
  <c r="H265" i="1" a="1"/>
  <c r="I265" i="1" s="1"/>
  <c r="H252" i="1" a="1"/>
  <c r="I252" i="1" s="1"/>
  <c r="H237" i="1" a="1"/>
  <c r="I237" i="1" s="1"/>
  <c r="H217" i="1" a="1"/>
  <c r="I217" i="1" s="1"/>
  <c r="H198" i="1" a="1"/>
  <c r="I198" i="1" s="1"/>
  <c r="H184" i="1" a="1"/>
  <c r="I184" i="1" s="1"/>
  <c r="H171" i="1" a="1"/>
  <c r="I171" i="1" s="1"/>
  <c r="H157" i="1" a="1"/>
  <c r="I157" i="1" s="1"/>
  <c r="H137" i="1" a="1"/>
  <c r="I137" i="1" s="1"/>
  <c r="H124" i="1" a="1"/>
  <c r="I124" i="1" s="1"/>
  <c r="H110" i="1" a="1"/>
  <c r="I110" i="1" s="1"/>
  <c r="H91" i="1" a="1"/>
  <c r="I91" i="1" s="1"/>
  <c r="H78" i="1" a="1"/>
  <c r="I78" i="1" s="1"/>
  <c r="H67" i="1" a="1"/>
  <c r="I67" i="1" s="1"/>
  <c r="H57" i="1" a="1"/>
  <c r="I57" i="1" s="1"/>
  <c r="H45" i="1" a="1"/>
  <c r="I45" i="1" s="1"/>
  <c r="H36" i="1" a="1"/>
  <c r="I36" i="1" s="1"/>
  <c r="H23" i="1" a="1"/>
  <c r="I23" i="1" s="1"/>
  <c r="H13" i="1" a="1"/>
  <c r="I13" i="1" s="1"/>
  <c r="H2" i="1" a="1"/>
  <c r="I2" i="1" s="1"/>
  <c r="H1144" i="1" a="1"/>
  <c r="I1144" i="1" s="1"/>
  <c r="H1120" i="1" a="1"/>
  <c r="I1120" i="1" s="1"/>
  <c r="H1098" i="1" a="1"/>
  <c r="I1098" i="1" s="1"/>
  <c r="H1075" i="1" a="1"/>
  <c r="I1075" i="1" s="1"/>
  <c r="H1056" i="1" a="1"/>
  <c r="I1056" i="1" s="1"/>
  <c r="H1035" i="1" a="1"/>
  <c r="I1035" i="1" s="1"/>
  <c r="H1009" i="1" a="1"/>
  <c r="I1009" i="1" s="1"/>
  <c r="H986" i="1" a="1"/>
  <c r="I986" i="1" s="1"/>
  <c r="H963" i="1" a="1"/>
  <c r="I963" i="1" s="1"/>
  <c r="H940" i="1" a="1"/>
  <c r="I940" i="1" s="1"/>
  <c r="H905" i="1" a="1"/>
  <c r="I905" i="1" s="1"/>
  <c r="H879" i="1" a="1"/>
  <c r="I879" i="1" s="1"/>
  <c r="H852" i="1" a="1"/>
  <c r="I852" i="1" s="1"/>
  <c r="H818" i="1" a="1"/>
  <c r="I818" i="1" s="1"/>
  <c r="H787" i="1" a="1"/>
  <c r="I787" i="1" s="1"/>
  <c r="H756" i="1" a="1"/>
  <c r="I756" i="1" s="1"/>
  <c r="H736" i="1" a="1"/>
  <c r="I736" i="1" s="1"/>
  <c r="H708" i="1" a="1"/>
  <c r="I708" i="1" s="1"/>
  <c r="H683" i="1" a="1"/>
  <c r="I683" i="1" s="1"/>
  <c r="H536" i="1" a="1"/>
  <c r="I536" i="1" s="1"/>
  <c r="H519" i="1" a="1"/>
  <c r="I519" i="1" s="1"/>
  <c r="H489" i="1" a="1"/>
  <c r="I489" i="1" s="1"/>
  <c r="H465" i="1" a="1"/>
  <c r="I465" i="1" s="1"/>
  <c r="H450" i="1" a="1"/>
  <c r="I450" i="1" s="1"/>
  <c r="H434" i="1" a="1"/>
  <c r="I434" i="1" s="1"/>
  <c r="H408" i="1" a="1"/>
  <c r="I408" i="1" s="1"/>
  <c r="H10" i="1" a="1"/>
  <c r="I10" i="1" s="1"/>
  <c r="H385" i="1" a="1"/>
  <c r="I385" i="1" s="1"/>
  <c r="H379" i="1" a="1"/>
  <c r="I379" i="1" s="1"/>
  <c r="H374" i="1" a="1"/>
  <c r="I374" i="1" s="1"/>
  <c r="H369" i="1" a="1"/>
  <c r="I369" i="1" s="1"/>
  <c r="H363" i="1" a="1"/>
  <c r="I363" i="1" s="1"/>
  <c r="H358" i="1" a="1"/>
  <c r="I358" i="1" s="1"/>
  <c r="H352" i="1" a="1"/>
  <c r="I352" i="1" s="1"/>
  <c r="H346" i="1" a="1"/>
  <c r="I346" i="1" s="1"/>
  <c r="H340" i="1" a="1"/>
  <c r="I340" i="1" s="1"/>
  <c r="H335" i="1" a="1"/>
  <c r="I335" i="1" s="1"/>
  <c r="H328" i="1" a="1"/>
  <c r="I328" i="1" s="1"/>
  <c r="H323" i="1" a="1"/>
  <c r="I323" i="1" s="1"/>
  <c r="H318" i="1" a="1"/>
  <c r="I318" i="1" s="1"/>
  <c r="H313" i="1" a="1"/>
  <c r="I313" i="1" s="1"/>
  <c r="H308" i="1" a="1"/>
  <c r="I308" i="1" s="1"/>
  <c r="H301" i="1" a="1"/>
  <c r="I301" i="1" s="1"/>
  <c r="H296" i="1" a="1"/>
  <c r="I296" i="1" s="1"/>
  <c r="H289" i="1" a="1"/>
  <c r="I289" i="1" s="1"/>
  <c r="H281" i="1" a="1"/>
  <c r="I281" i="1" s="1"/>
  <c r="H275" i="1" a="1"/>
  <c r="I275" i="1" s="1"/>
  <c r="H257" i="1" a="1"/>
  <c r="I257" i="1" s="1"/>
  <c r="H1153" i="1" a="1"/>
  <c r="I1153" i="1" s="1"/>
  <c r="H1147" i="1" a="1"/>
  <c r="I1147" i="1" s="1"/>
  <c r="H1141" i="1" a="1"/>
  <c r="I1141" i="1" s="1"/>
  <c r="H1135" i="1" a="1"/>
  <c r="I1135" i="1" s="1"/>
  <c r="H1129" i="1" a="1"/>
  <c r="I1129" i="1" s="1"/>
  <c r="H1123" i="1" a="1"/>
  <c r="I1123" i="1" s="1"/>
  <c r="H1118" i="1" a="1"/>
  <c r="I1118" i="1" s="1"/>
  <c r="H1112" i="1" a="1"/>
  <c r="I1112" i="1" s="1"/>
  <c r="H1106" i="1" a="1"/>
  <c r="I1106" i="1" s="1"/>
  <c r="H1101" i="1" a="1"/>
  <c r="I1101" i="1" s="1"/>
  <c r="H1096" i="1" a="1"/>
  <c r="I1096" i="1" s="1"/>
  <c r="H1090" i="1" a="1"/>
  <c r="I1090" i="1" s="1"/>
  <c r="H1085" i="1" a="1"/>
  <c r="I1085" i="1" s="1"/>
  <c r="H1081" i="1" a="1"/>
  <c r="I1081" i="1" s="1"/>
  <c r="H1076" i="1" a="1"/>
  <c r="I1076" i="1" s="1"/>
  <c r="H1071" i="1" a="1"/>
  <c r="I1071" i="1" s="1"/>
  <c r="H1066" i="1" a="1"/>
  <c r="I1066" i="1" s="1"/>
  <c r="H1061" i="1" a="1"/>
  <c r="I1061" i="1" s="1"/>
  <c r="H1055" i="1" a="1"/>
  <c r="I1055" i="1" s="1"/>
  <c r="H1050" i="1" a="1"/>
  <c r="I1050" i="1" s="1"/>
  <c r="H1047" i="1" a="1"/>
  <c r="I1047" i="1" s="1"/>
  <c r="H1042" i="1" a="1"/>
  <c r="I1042" i="1" s="1"/>
  <c r="H1041" i="1" a="1"/>
  <c r="I1041" i="1" s="1"/>
  <c r="H1036" i="1" a="1"/>
  <c r="I1036" i="1" s="1"/>
  <c r="H1031" i="1" a="1"/>
  <c r="I1031" i="1" s="1"/>
  <c r="H1026" i="1" a="1"/>
  <c r="I1026" i="1" s="1"/>
  <c r="H1021" i="1" a="1"/>
  <c r="I1021" i="1" s="1"/>
  <c r="H1016" i="1" a="1"/>
  <c r="I1016" i="1" s="1"/>
  <c r="H1012" i="1" a="1"/>
  <c r="I1012" i="1" s="1"/>
  <c r="H1008" i="1" a="1"/>
  <c r="I1008" i="1" s="1"/>
  <c r="H1004" i="1" a="1"/>
  <c r="I1004" i="1" s="1"/>
  <c r="H999" i="1" a="1"/>
  <c r="I999" i="1" s="1"/>
  <c r="H994" i="1" a="1"/>
  <c r="I994" i="1" s="1"/>
  <c r="H993" i="1" a="1"/>
  <c r="I993" i="1" s="1"/>
  <c r="H988" i="1" a="1"/>
  <c r="I988" i="1" s="1"/>
  <c r="H984" i="1" a="1"/>
  <c r="I984" i="1" s="1"/>
  <c r="H979" i="1" a="1"/>
  <c r="I979" i="1" s="1"/>
  <c r="H974" i="1" a="1"/>
  <c r="I974" i="1" s="1"/>
  <c r="H969" i="1" a="1"/>
  <c r="I969" i="1" s="1"/>
  <c r="H964" i="1" a="1"/>
  <c r="H959" i="1" a="1"/>
  <c r="I959" i="1" s="1"/>
  <c r="H955" i="1" a="1"/>
  <c r="I955" i="1" s="1"/>
  <c r="H951" i="1" a="1"/>
  <c r="I951" i="1" s="1"/>
  <c r="H946" i="1" a="1"/>
  <c r="I946" i="1" s="1"/>
  <c r="H941" i="1" a="1"/>
  <c r="I941" i="1" s="1"/>
  <c r="H937" i="1" a="1"/>
  <c r="I937" i="1" s="1"/>
  <c r="H932" i="1" a="1"/>
  <c r="I932" i="1" s="1"/>
  <c r="H928" i="1" a="1"/>
  <c r="I928" i="1" s="1"/>
  <c r="H924" i="1" a="1"/>
  <c r="I924" i="1" s="1"/>
  <c r="H919" i="1" a="1"/>
  <c r="I919" i="1" s="1"/>
  <c r="H914" i="1" a="1"/>
  <c r="I914" i="1" s="1"/>
  <c r="H911" i="1" a="1"/>
  <c r="I911" i="1" s="1"/>
  <c r="H906" i="1" a="1"/>
  <c r="I906" i="1" s="1"/>
  <c r="H902" i="1" a="1"/>
  <c r="I902" i="1" s="1"/>
  <c r="H897" i="1" a="1"/>
  <c r="I897" i="1" s="1"/>
  <c r="H892" i="1" a="1"/>
  <c r="I892" i="1" s="1"/>
  <c r="H887" i="1" a="1"/>
  <c r="I887" i="1" s="1"/>
  <c r="H882" i="1" a="1"/>
  <c r="I882" i="1" s="1"/>
  <c r="H877" i="1" a="1"/>
  <c r="I877" i="1" s="1"/>
  <c r="H873" i="1" a="1"/>
  <c r="I873" i="1" s="1"/>
  <c r="H869" i="1" a="1"/>
  <c r="I869" i="1" s="1"/>
  <c r="H865" i="1" a="1"/>
  <c r="I865" i="1" s="1"/>
  <c r="H861" i="1" a="1"/>
  <c r="I861" i="1" s="1"/>
  <c r="H856" i="1" a="1"/>
  <c r="I856" i="1" s="1"/>
  <c r="H851" i="1" a="1"/>
  <c r="I851" i="1" s="1"/>
  <c r="H846" i="1" a="1"/>
  <c r="I846" i="1" s="1"/>
  <c r="H841" i="1" a="1"/>
  <c r="I841" i="1" s="1"/>
  <c r="H836" i="1" a="1"/>
  <c r="I836" i="1" s="1"/>
  <c r="H832" i="1" a="1"/>
  <c r="I832" i="1" s="1"/>
  <c r="H828" i="1" a="1"/>
  <c r="I828" i="1" s="1"/>
  <c r="H823" i="1" a="1"/>
  <c r="I823" i="1" s="1"/>
  <c r="H819" i="1" a="1"/>
  <c r="I819" i="1" s="1"/>
  <c r="H815" i="1" a="1"/>
  <c r="I815" i="1" s="1"/>
  <c r="H812" i="1" a="1"/>
  <c r="I812" i="1" s="1"/>
  <c r="H807" i="1" a="1"/>
  <c r="I807" i="1" s="1"/>
  <c r="H803" i="1" a="1"/>
  <c r="I803" i="1" s="1"/>
  <c r="H798" i="1" a="1"/>
  <c r="I798" i="1" s="1"/>
  <c r="H793" i="1" a="1"/>
  <c r="I793" i="1" s="1"/>
  <c r="H788" i="1" a="1"/>
  <c r="I788" i="1" s="1"/>
  <c r="H783" i="1" a="1"/>
  <c r="I783" i="1" s="1"/>
  <c r="H779" i="1" a="1"/>
  <c r="I779" i="1" s="1"/>
  <c r="H775" i="1" a="1"/>
  <c r="I775" i="1" s="1"/>
  <c r="H770" i="1" a="1"/>
  <c r="I770" i="1" s="1"/>
  <c r="H765" i="1" a="1"/>
  <c r="I765" i="1" s="1"/>
  <c r="H762" i="1" a="1"/>
  <c r="I762" i="1" s="1"/>
  <c r="H757" i="1" a="1"/>
  <c r="I757" i="1" s="1"/>
  <c r="H752" i="1" a="1"/>
  <c r="I752" i="1" s="1"/>
  <c r="H750" i="1" a="1"/>
  <c r="I750" i="1" s="1"/>
  <c r="H743" i="1" a="1"/>
  <c r="I743" i="1" s="1"/>
  <c r="H740" i="1" a="1"/>
  <c r="I740" i="1" s="1"/>
  <c r="H735" i="1" a="1"/>
  <c r="I735" i="1" s="1"/>
  <c r="H731" i="1" a="1"/>
  <c r="I731" i="1" s="1"/>
  <c r="H726" i="1" a="1"/>
  <c r="I726" i="1" s="1"/>
  <c r="H721" i="1" a="1"/>
  <c r="I721" i="1" s="1"/>
  <c r="H716" i="1" a="1"/>
  <c r="I716" i="1" s="1"/>
  <c r="H712" i="1" a="1"/>
  <c r="I712" i="1" s="1"/>
  <c r="H710" i="1" a="1"/>
  <c r="I710" i="1" s="1"/>
  <c r="H705" i="1" a="1"/>
  <c r="I705" i="1" s="1"/>
  <c r="H700" i="1" a="1"/>
  <c r="I700" i="1" s="1"/>
  <c r="H695" i="1" a="1"/>
  <c r="I695" i="1" s="1"/>
  <c r="H686" i="1" a="1"/>
  <c r="I686" i="1" s="1"/>
  <c r="H681" i="1" a="1"/>
  <c r="I681" i="1" s="1"/>
  <c r="H676" i="1" a="1"/>
  <c r="I676" i="1" s="1"/>
  <c r="H671" i="1" a="1"/>
  <c r="I671" i="1" s="1"/>
  <c r="H545" i="1" a="1"/>
  <c r="I545" i="1" s="1"/>
  <c r="H542" i="1" a="1"/>
  <c r="I542" i="1" s="1"/>
  <c r="H538" i="1" a="1"/>
  <c r="I538" i="1" s="1"/>
  <c r="H534" i="1" a="1"/>
  <c r="I534" i="1" s="1"/>
  <c r="H530" i="1" a="1"/>
  <c r="I530" i="1" s="1"/>
  <c r="H526" i="1" a="1"/>
  <c r="I526" i="1" s="1"/>
  <c r="H522" i="1" a="1"/>
  <c r="I522" i="1" s="1"/>
  <c r="H518" i="1" a="1"/>
  <c r="I518" i="1" s="1"/>
  <c r="H514" i="1" a="1"/>
  <c r="I514" i="1" s="1"/>
  <c r="H511" i="1" a="1"/>
  <c r="I511" i="1" s="1"/>
  <c r="H507" i="1" a="1"/>
  <c r="I507" i="1" s="1"/>
  <c r="H503" i="1" a="1"/>
  <c r="I503" i="1" s="1"/>
  <c r="H500" i="1" a="1"/>
  <c r="I500" i="1" s="1"/>
  <c r="H497" i="1" a="1"/>
  <c r="I497" i="1" s="1"/>
  <c r="H493" i="1" a="1"/>
  <c r="I493" i="1" s="1"/>
  <c r="H490" i="1" a="1"/>
  <c r="I490" i="1" s="1"/>
  <c r="H486" i="1" a="1"/>
  <c r="I486" i="1" s="1"/>
  <c r="H483" i="1" a="1"/>
  <c r="I483" i="1" s="1"/>
  <c r="H481" i="1" a="1"/>
  <c r="I481" i="1" s="1"/>
  <c r="H477" i="1" a="1"/>
  <c r="I477" i="1" s="1"/>
  <c r="H473" i="1" a="1"/>
  <c r="I473" i="1" s="1"/>
  <c r="H470" i="1" a="1"/>
  <c r="I470" i="1" s="1"/>
  <c r="H466" i="1" a="1"/>
  <c r="I466" i="1" s="1"/>
  <c r="H464" i="1" a="1"/>
  <c r="I464" i="1" s="1"/>
  <c r="H460" i="1" a="1"/>
  <c r="I460" i="1" s="1"/>
  <c r="H456" i="1" a="1"/>
  <c r="I456" i="1" s="1"/>
  <c r="H453" i="1" a="1"/>
  <c r="I453" i="1" s="1"/>
  <c r="H451" i="1" a="1"/>
  <c r="I451" i="1" s="1"/>
  <c r="H447" i="1" a="1"/>
  <c r="I447" i="1" s="1"/>
  <c r="H444" i="1" a="1"/>
  <c r="I444" i="1" s="1"/>
  <c r="H440" i="1" a="1"/>
  <c r="I440" i="1" s="1"/>
  <c r="H436" i="1" a="1"/>
  <c r="I436" i="1" s="1"/>
  <c r="H432" i="1" a="1"/>
  <c r="I432" i="1" s="1"/>
  <c r="H428" i="1" a="1"/>
  <c r="I428" i="1" s="1"/>
  <c r="H425" i="1" a="1"/>
  <c r="I425" i="1" s="1"/>
  <c r="H421" i="1" a="1"/>
  <c r="I421" i="1" s="1"/>
  <c r="H416" i="1" a="1"/>
  <c r="I416" i="1" s="1"/>
  <c r="H411" i="1" a="1"/>
  <c r="I411" i="1" s="1"/>
  <c r="H404" i="1" a="1"/>
  <c r="I404" i="1" s="1"/>
  <c r="H399" i="1" a="1"/>
  <c r="I399" i="1" s="1"/>
  <c r="H395" i="1" a="1"/>
  <c r="I395" i="1" s="1"/>
  <c r="H390" i="1" a="1"/>
  <c r="I390" i="1" s="1"/>
  <c r="H386" i="1" a="1"/>
  <c r="I386" i="1" s="1"/>
  <c r="H380" i="1" a="1"/>
  <c r="I380" i="1" s="1"/>
  <c r="H375" i="1" a="1"/>
  <c r="I375" i="1" s="1"/>
  <c r="H370" i="1" a="1"/>
  <c r="I370" i="1" s="1"/>
  <c r="H365" i="1" a="1"/>
  <c r="I365" i="1" s="1"/>
  <c r="H360" i="1" a="1"/>
  <c r="I360" i="1" s="1"/>
  <c r="H357" i="1" a="1"/>
  <c r="I357" i="1" s="1"/>
  <c r="H353" i="1" a="1"/>
  <c r="I353" i="1" s="1"/>
  <c r="H348" i="1" a="1"/>
  <c r="I348" i="1" s="1"/>
  <c r="H343" i="1" a="1"/>
  <c r="I343" i="1" s="1"/>
  <c r="H339" i="1" a="1"/>
  <c r="I339" i="1" s="1"/>
  <c r="H334" i="1" a="1"/>
  <c r="I334" i="1" s="1"/>
  <c r="H330" i="1" a="1"/>
  <c r="I330" i="1" s="1"/>
  <c r="H326" i="1" a="1"/>
  <c r="I326" i="1" s="1"/>
  <c r="H321" i="1" a="1"/>
  <c r="I321" i="1" s="1"/>
  <c r="H317" i="1" a="1"/>
  <c r="I317" i="1" s="1"/>
  <c r="H312" i="1" a="1"/>
  <c r="I312" i="1" s="1"/>
  <c r="H307" i="1" a="1"/>
  <c r="I307" i="1" s="1"/>
  <c r="H302" i="1" a="1"/>
  <c r="I302" i="1" s="1"/>
  <c r="H297" i="1" a="1"/>
  <c r="I297" i="1" s="1"/>
  <c r="H292" i="1" a="1"/>
  <c r="I292" i="1" s="1"/>
  <c r="H287" i="1" a="1"/>
  <c r="I287" i="1" s="1"/>
  <c r="H283" i="1" a="1"/>
  <c r="I283" i="1" s="1"/>
  <c r="H280" i="1" a="1"/>
  <c r="I280" i="1" s="1"/>
  <c r="H274" i="1" a="1"/>
  <c r="I274" i="1" s="1"/>
  <c r="H270" i="1" a="1"/>
  <c r="I270" i="1" s="1"/>
  <c r="H266" i="1" a="1"/>
  <c r="I266" i="1" s="1"/>
  <c r="H262" i="1" a="1"/>
  <c r="I262" i="1" s="1"/>
  <c r="H259" i="1" a="1"/>
  <c r="I259" i="1" s="1"/>
  <c r="H254" i="1" a="1"/>
  <c r="I254" i="1" s="1"/>
  <c r="H251" i="1" a="1"/>
  <c r="I251" i="1" s="1"/>
  <c r="H247" i="1" a="1"/>
  <c r="I247" i="1" s="1"/>
  <c r="H243" i="1" a="1"/>
  <c r="H239" i="1" a="1"/>
  <c r="I239" i="1" s="1"/>
  <c r="H235" i="1" a="1"/>
  <c r="I235" i="1" s="1"/>
  <c r="H231" i="1" a="1"/>
  <c r="I231" i="1" s="1"/>
  <c r="H228" i="1" a="1"/>
  <c r="I228" i="1" s="1"/>
  <c r="H224" i="1" a="1"/>
  <c r="I224" i="1" s="1"/>
  <c r="H219" i="1" a="1"/>
  <c r="I219" i="1" s="1"/>
  <c r="H213" i="1" a="1"/>
  <c r="I213" i="1" s="1"/>
  <c r="H210" i="1" a="1"/>
  <c r="I210" i="1" s="1"/>
  <c r="H207" i="1" a="1"/>
  <c r="I207" i="1" s="1"/>
  <c r="H205" i="1" a="1"/>
  <c r="I205" i="1" s="1"/>
  <c r="H204" i="1" a="1"/>
  <c r="I204" i="1" s="1"/>
  <c r="H200" i="1" a="1"/>
  <c r="I200" i="1" s="1"/>
  <c r="H197" i="1" a="1"/>
  <c r="I197" i="1" s="1"/>
  <c r="H194" i="1" a="1"/>
  <c r="I194" i="1" s="1"/>
  <c r="H192" i="1" a="1"/>
  <c r="I192" i="1" s="1"/>
  <c r="H189" i="1" a="1"/>
  <c r="I189" i="1" s="1"/>
  <c r="H186" i="1" a="1"/>
  <c r="I186" i="1" s="1"/>
  <c r="H183" i="1" a="1"/>
  <c r="I183" i="1" s="1"/>
  <c r="H180" i="1" a="1"/>
  <c r="I180" i="1" s="1"/>
  <c r="H178" i="1" a="1"/>
  <c r="I178" i="1" s="1"/>
  <c r="H175" i="1" a="1"/>
  <c r="I175" i="1" s="1"/>
  <c r="H172" i="1" a="1"/>
  <c r="I172" i="1" s="1"/>
  <c r="H169" i="1" a="1"/>
  <c r="I169" i="1" s="1"/>
  <c r="H167" i="1" a="1"/>
  <c r="I167" i="1" s="1"/>
  <c r="H164" i="1" a="1"/>
  <c r="I164" i="1" s="1"/>
  <c r="H161" i="1" a="1"/>
  <c r="I161" i="1" s="1"/>
  <c r="H158" i="1" a="1"/>
  <c r="I158" i="1" s="1"/>
  <c r="H156" i="1" a="1"/>
  <c r="I156" i="1" s="1"/>
  <c r="H152" i="1" a="1"/>
  <c r="I152" i="1" s="1"/>
  <c r="H149" i="1" a="1"/>
  <c r="I149" i="1" s="1"/>
  <c r="H146" i="1" a="1"/>
  <c r="I146" i="1" s="1"/>
  <c r="H144" i="1" a="1"/>
  <c r="I144" i="1" s="1"/>
  <c r="H141" i="1" a="1"/>
  <c r="I141" i="1" s="1"/>
  <c r="H138" i="1" a="1"/>
  <c r="I138" i="1" s="1"/>
  <c r="H135" i="1" a="1"/>
  <c r="I135" i="1" s="1"/>
  <c r="H133" i="1" a="1"/>
  <c r="I133" i="1" s="1"/>
  <c r="H130" i="1" a="1"/>
  <c r="I130" i="1" s="1"/>
  <c r="H127" i="1" a="1"/>
  <c r="I127" i="1" s="1"/>
  <c r="H123" i="1" a="1"/>
  <c r="I123" i="1" s="1"/>
  <c r="H121" i="1" a="1"/>
  <c r="I121" i="1" s="1"/>
  <c r="H118" i="1" a="1"/>
  <c r="I118" i="1" s="1"/>
  <c r="H115" i="1" a="1"/>
  <c r="I115" i="1" s="1"/>
  <c r="H112" i="1" a="1"/>
  <c r="I112" i="1" s="1"/>
  <c r="H109" i="1" a="1"/>
  <c r="I109" i="1" s="1"/>
  <c r="H106" i="1" a="1"/>
  <c r="I106" i="1" s="1"/>
  <c r="H104" i="1" a="1"/>
  <c r="I104" i="1" s="1"/>
  <c r="H101" i="1" a="1"/>
  <c r="I101" i="1" s="1"/>
  <c r="H98" i="1" a="1"/>
  <c r="I98" i="1" s="1"/>
  <c r="H95" i="1" a="1"/>
  <c r="I95" i="1" s="1"/>
  <c r="H92" i="1" a="1"/>
  <c r="I92" i="1" s="1"/>
  <c r="H89" i="1" a="1"/>
  <c r="I89" i="1" s="1"/>
  <c r="H87" i="1" a="1"/>
  <c r="I87" i="1" s="1"/>
  <c r="H85" i="1" a="1"/>
  <c r="I85" i="1" s="1"/>
  <c r="H82" i="1" a="1"/>
  <c r="I82" i="1" s="1"/>
  <c r="H79" i="1" a="1"/>
  <c r="I79" i="1" s="1"/>
  <c r="H77" i="1" a="1"/>
  <c r="I77" i="1" s="1"/>
  <c r="H74" i="1" a="1"/>
  <c r="I74" i="1" s="1"/>
  <c r="H72" i="1" a="1"/>
  <c r="I72" i="1" s="1"/>
  <c r="H70" i="1" a="1"/>
  <c r="I70" i="1" s="1"/>
  <c r="H66" i="1" a="1"/>
  <c r="I66" i="1" s="1"/>
  <c r="H64" i="1" a="1"/>
  <c r="I64" i="1" s="1"/>
  <c r="H62" i="1" a="1"/>
  <c r="I62" i="1" s="1"/>
  <c r="H60" i="1" a="1"/>
  <c r="I60" i="1" s="1"/>
  <c r="H59" i="1" a="1"/>
  <c r="I59" i="1" s="1"/>
  <c r="H56" i="1" a="1"/>
  <c r="I56" i="1" s="1"/>
  <c r="H54" i="1" a="1"/>
  <c r="I54" i="1" s="1"/>
  <c r="H52" i="1" a="1"/>
  <c r="I52" i="1" s="1"/>
  <c r="H50" i="1" a="1"/>
  <c r="I50" i="1" s="1"/>
  <c r="H48" i="1" a="1"/>
  <c r="I48" i="1" s="1"/>
  <c r="H46" i="1" a="1"/>
  <c r="I46" i="1" s="1"/>
  <c r="H44" i="1" a="1"/>
  <c r="I44" i="1" s="1"/>
  <c r="H42" i="1" a="1"/>
  <c r="I42" i="1" s="1"/>
  <c r="H40" i="1" a="1"/>
  <c r="I40" i="1" s="1"/>
  <c r="H37" i="1" a="1"/>
  <c r="I37" i="1" s="1"/>
  <c r="H35" i="1" a="1"/>
  <c r="I35" i="1" s="1"/>
  <c r="H33" i="1" a="1"/>
  <c r="I33" i="1" s="1"/>
  <c r="H31" i="1" a="1"/>
  <c r="I31" i="1" s="1"/>
  <c r="H28" i="1" a="1"/>
  <c r="I28" i="1" s="1"/>
  <c r="H25" i="1" a="1"/>
  <c r="I25" i="1" s="1"/>
  <c r="H22" i="1" a="1"/>
  <c r="I22" i="1" s="1"/>
  <c r="H20" i="1" a="1"/>
  <c r="I20" i="1" s="1"/>
  <c r="H14" i="1" a="1"/>
  <c r="I14" i="1" s="1"/>
  <c r="H972" i="1" a="1"/>
  <c r="I972" i="1" s="1"/>
  <c r="H933" i="1" a="1"/>
  <c r="I933" i="1" s="1"/>
  <c r="H917" i="1" a="1"/>
  <c r="I917" i="1" s="1"/>
  <c r="H895" i="1" a="1"/>
  <c r="I895" i="1" s="1"/>
  <c r="H874" i="1" a="1"/>
  <c r="I874" i="1" s="1"/>
  <c r="H853" i="1" a="1"/>
  <c r="I853" i="1" s="1"/>
  <c r="H833" i="1" a="1"/>
  <c r="I833" i="1" s="1"/>
  <c r="H814" i="1" a="1"/>
  <c r="I814" i="1" s="1"/>
  <c r="H789" i="1" a="1"/>
  <c r="I789" i="1" s="1"/>
  <c r="H764" i="1" a="1"/>
  <c r="I764" i="1" s="1"/>
  <c r="H742" i="1" a="1"/>
  <c r="I742" i="1" s="1"/>
  <c r="H728" i="1" a="1"/>
  <c r="I728" i="1" s="1"/>
  <c r="H704" i="1" a="1"/>
  <c r="I704" i="1" s="1"/>
  <c r="H684" i="1" a="1"/>
  <c r="I684" i="1" s="1"/>
  <c r="H537" i="1" a="1"/>
  <c r="I537" i="1" s="1"/>
  <c r="H520" i="1" a="1"/>
  <c r="I520" i="1" s="1"/>
  <c r="H499" i="1" a="1"/>
  <c r="I499" i="1" s="1"/>
  <c r="H480" i="1" a="1"/>
  <c r="I480" i="1" s="1"/>
  <c r="H463" i="1" a="1"/>
  <c r="I463" i="1" s="1"/>
  <c r="H437" i="1" a="1"/>
  <c r="I437" i="1" s="1"/>
  <c r="H415" i="1" a="1"/>
  <c r="I415" i="1" s="1"/>
  <c r="H394" i="1" a="1"/>
  <c r="I394" i="1" s="1"/>
  <c r="H373" i="1" a="1"/>
  <c r="I373" i="1" s="1"/>
  <c r="H350" i="1" a="1"/>
  <c r="I350" i="1" s="1"/>
  <c r="H322" i="1" a="1"/>
  <c r="I322" i="1" s="1"/>
  <c r="H295" i="1" a="1"/>
  <c r="I295" i="1" s="1"/>
  <c r="H273" i="1" a="1"/>
  <c r="I273" i="1" s="1"/>
  <c r="H260" i="1" a="1"/>
  <c r="I260" i="1" s="1"/>
  <c r="H232" i="1" a="1"/>
  <c r="I232" i="1" s="1"/>
  <c r="H211" i="1" a="1"/>
  <c r="I211" i="1" s="1"/>
  <c r="H195" i="1" a="1"/>
  <c r="I195" i="1" s="1"/>
  <c r="H181" i="1" a="1"/>
  <c r="I181" i="1" s="1"/>
  <c r="H162" i="1" a="1"/>
  <c r="I162" i="1" s="1"/>
  <c r="H147" i="1" a="1"/>
  <c r="I147" i="1" s="1"/>
  <c r="H128" i="1" a="1"/>
  <c r="I128" i="1" s="1"/>
  <c r="H111" i="1" a="1"/>
  <c r="I111" i="1" s="1"/>
  <c r="H94" i="1" a="1"/>
  <c r="I94" i="1" s="1"/>
  <c r="H80" i="1" a="1"/>
  <c r="I80" i="1" s="1"/>
  <c r="H1148" i="1" a="1"/>
  <c r="I1148" i="1" s="1"/>
  <c r="H1119" i="1" a="1"/>
  <c r="I1119" i="1" s="1"/>
  <c r="H427" i="1" a="1"/>
  <c r="I427" i="1" s="1"/>
  <c r="H245" i="1" a="1"/>
  <c r="I245" i="1" s="1"/>
  <c r="H230" i="1" a="1"/>
  <c r="I230" i="1" s="1"/>
  <c r="H214" i="1" a="1"/>
  <c r="I214" i="1" s="1"/>
  <c r="H201" i="1" a="1"/>
  <c r="I201" i="1" s="1"/>
  <c r="H187" i="1" a="1"/>
  <c r="I187" i="1" s="1"/>
  <c r="H173" i="1" a="1"/>
  <c r="I173" i="1" s="1"/>
  <c r="H163" i="1" a="1"/>
  <c r="I163" i="1" s="1"/>
  <c r="H150" i="1" a="1"/>
  <c r="I150" i="1" s="1"/>
  <c r="H140" i="1" a="1"/>
  <c r="I140" i="1" s="1"/>
  <c r="H129" i="1" a="1"/>
  <c r="I129" i="1" s="1"/>
  <c r="H116" i="1" a="1"/>
  <c r="I116" i="1" s="1"/>
  <c r="H102" i="1" a="1"/>
  <c r="I102" i="1" s="1"/>
  <c r="H96" i="1" a="1"/>
  <c r="I96" i="1" s="1"/>
  <c r="H84" i="1" a="1"/>
  <c r="I84" i="1" s="1"/>
  <c r="H71" i="1" a="1"/>
  <c r="I71" i="1" s="1"/>
  <c r="H61" i="1" a="1"/>
  <c r="I61" i="1" s="1"/>
  <c r="H53" i="1" a="1"/>
  <c r="I53" i="1" s="1"/>
  <c r="H43" i="1" a="1"/>
  <c r="I43" i="1" s="1"/>
  <c r="H34" i="1" a="1"/>
  <c r="I34" i="1" s="1"/>
  <c r="H26" i="1" a="1"/>
  <c r="I26" i="1" s="1"/>
  <c r="H17" i="1" a="1"/>
  <c r="I17" i="1" s="1"/>
  <c r="H7" i="1" a="1"/>
  <c r="I7" i="1" s="1"/>
  <c r="H1156" i="1" a="1"/>
  <c r="I1156" i="1" s="1"/>
  <c r="H1132" i="1" a="1"/>
  <c r="I1132" i="1" s="1"/>
  <c r="H1109" i="1" a="1"/>
  <c r="I1109" i="1" s="1"/>
  <c r="H1086" i="1" a="1"/>
  <c r="I1086" i="1" s="1"/>
  <c r="H1070" i="1" a="1"/>
  <c r="I1070" i="1" s="1"/>
  <c r="H1051" i="1" a="1"/>
  <c r="I1051" i="1" s="1"/>
  <c r="H1030" i="1" a="1"/>
  <c r="I1030" i="1" s="1"/>
  <c r="H1014" i="1" a="1"/>
  <c r="I1014" i="1" s="1"/>
  <c r="H997" i="1" a="1"/>
  <c r="I997" i="1" s="1"/>
  <c r="H977" i="1" a="1"/>
  <c r="I977" i="1" s="1"/>
  <c r="H958" i="1" a="1"/>
  <c r="I958" i="1" s="1"/>
  <c r="H935" i="1" a="1"/>
  <c r="I935" i="1" s="1"/>
  <c r="H915" i="1" a="1"/>
  <c r="I915" i="1" s="1"/>
  <c r="H894" i="1" a="1"/>
  <c r="I894" i="1" s="1"/>
  <c r="H875" i="1" a="1"/>
  <c r="I875" i="1" s="1"/>
  <c r="H847" i="1" a="1"/>
  <c r="I847" i="1" s="1"/>
  <c r="H813" i="1" a="1"/>
  <c r="I813" i="1" s="1"/>
  <c r="H792" i="1" a="1"/>
  <c r="I792" i="1" s="1"/>
  <c r="H766" i="1" a="1"/>
  <c r="I766" i="1" s="1"/>
  <c r="H746" i="1" a="1"/>
  <c r="I746" i="1" s="1"/>
  <c r="H719" i="1" a="1"/>
  <c r="I719" i="1" s="1"/>
  <c r="H692" i="1" a="1"/>
  <c r="I692" i="1" s="1"/>
  <c r="H679" i="1" a="1"/>
  <c r="I679" i="1" s="1"/>
  <c r="H510" i="1" a="1"/>
  <c r="I510" i="1" s="1"/>
  <c r="H494" i="1" a="1"/>
  <c r="I494" i="1" s="1"/>
  <c r="H474" i="1" a="1"/>
  <c r="I474" i="1" s="1"/>
  <c r="H457" i="1" a="1"/>
  <c r="I457" i="1" s="1"/>
  <c r="H442" i="1" a="1"/>
  <c r="I442" i="1" s="1"/>
  <c r="H430" i="1" a="1"/>
  <c r="I430" i="1" s="1"/>
  <c r="H413" i="1" a="1"/>
  <c r="I413" i="1" s="1"/>
  <c r="H16" i="1" a="1"/>
  <c r="I16" i="1" s="1"/>
  <c r="H4" i="1" a="1"/>
  <c r="I4" i="1" s="1"/>
  <c r="H488" i="1" a="1"/>
  <c r="I488" i="1" s="1"/>
  <c r="H467" i="1" a="1"/>
  <c r="I467" i="1" s="1"/>
  <c r="H452" i="1" a="1"/>
  <c r="I452" i="1" s="1"/>
  <c r="H435" i="1" a="1"/>
  <c r="I435" i="1" s="1"/>
  <c r="H402" i="1" a="1"/>
  <c r="I402" i="1" s="1"/>
  <c r="H366" i="1" a="1"/>
  <c r="I366" i="1" s="1"/>
  <c r="H347" i="1" a="1"/>
  <c r="I347" i="1" s="1"/>
  <c r="H331" i="1" a="1"/>
  <c r="I331" i="1" s="1"/>
  <c r="H304" i="1" a="1"/>
  <c r="I304" i="1" s="1"/>
  <c r="H277" i="1" a="1"/>
  <c r="I277" i="1" s="1"/>
  <c r="H250" i="1" a="1"/>
  <c r="I250" i="1" s="1"/>
  <c r="H233" i="1" a="1"/>
  <c r="I233" i="1" s="1"/>
  <c r="H1200" i="1" a="1"/>
  <c r="I1200" i="1" s="1"/>
  <c r="H1195" i="1" a="1"/>
  <c r="I1195" i="1" s="1"/>
  <c r="H1191" i="1" a="1"/>
  <c r="I1191" i="1" s="1"/>
  <c r="H1186" i="1" a="1"/>
  <c r="I1186" i="1" s="1"/>
  <c r="H1182" i="1" a="1"/>
  <c r="I1182" i="1" s="1"/>
  <c r="H1177" i="1" a="1"/>
  <c r="I1177" i="1" s="1"/>
  <c r="H1173" i="1" a="1"/>
  <c r="I1173" i="1" s="1"/>
  <c r="H1169" i="1" a="1"/>
  <c r="I1169" i="1" s="1"/>
  <c r="H1165" i="1" a="1"/>
  <c r="I1165" i="1" s="1"/>
  <c r="H1159" i="1" a="1"/>
  <c r="I1159" i="1" s="1"/>
  <c r="H1146" i="1" a="1"/>
  <c r="I1146" i="1" s="1"/>
  <c r="H1121" i="1" a="1"/>
  <c r="I1121" i="1" s="1"/>
  <c r="H1087" i="1" a="1"/>
  <c r="I1087" i="1" s="1"/>
  <c r="H1062" i="1" a="1"/>
  <c r="I1062" i="1" s="1"/>
  <c r="H1029" i="1" a="1"/>
  <c r="I1029" i="1" s="1"/>
  <c r="H1010" i="1" a="1"/>
  <c r="I1010" i="1" s="1"/>
  <c r="H990" i="1" a="1"/>
  <c r="I990" i="1" s="1"/>
  <c r="H967" i="1" a="1"/>
  <c r="I967" i="1" s="1"/>
  <c r="H947" i="1" a="1"/>
  <c r="I947" i="1" s="1"/>
  <c r="H926" i="1" a="1"/>
  <c r="I926" i="1" s="1"/>
  <c r="H901" i="1" a="1"/>
  <c r="I901" i="1" s="1"/>
  <c r="H871" i="1" a="1"/>
  <c r="I871" i="1" s="1"/>
  <c r="H850" i="1" a="1"/>
  <c r="I850" i="1" s="1"/>
  <c r="H831" i="1" a="1"/>
  <c r="I831" i="1" s="1"/>
  <c r="H811" i="1" a="1"/>
  <c r="I811" i="1" s="1"/>
  <c r="H786" i="1" a="1"/>
  <c r="I786" i="1" s="1"/>
  <c r="H767" i="1" a="1"/>
  <c r="I767" i="1" s="1"/>
  <c r="H749" i="1" a="1"/>
  <c r="I749" i="1" s="1"/>
  <c r="H732" i="1" a="1"/>
  <c r="I732" i="1" s="1"/>
  <c r="H717" i="1" a="1"/>
  <c r="I717" i="1" s="1"/>
  <c r="H703" i="1" a="1"/>
  <c r="I703" i="1" s="1"/>
  <c r="H689" i="1" a="1"/>
  <c r="I689" i="1" s="1"/>
  <c r="H670" i="1" a="1"/>
  <c r="I670" i="1" s="1"/>
  <c r="H666" i="1" a="1"/>
  <c r="I666" i="1" s="1"/>
  <c r="H663" i="1" a="1"/>
  <c r="I663" i="1" s="1"/>
  <c r="H660" i="1" a="1"/>
  <c r="I660" i="1" s="1"/>
  <c r="H657" i="1" a="1"/>
  <c r="I657" i="1" s="1"/>
  <c r="H654" i="1" a="1"/>
  <c r="I654" i="1" s="1"/>
  <c r="H652" i="1" a="1"/>
  <c r="I652" i="1" s="1"/>
  <c r="H650" i="1" a="1"/>
  <c r="I650" i="1" s="1"/>
  <c r="H648" i="1" a="1"/>
  <c r="I648" i="1" s="1"/>
  <c r="H646" i="1" a="1"/>
  <c r="I646" i="1" s="1"/>
  <c r="H643" i="1" a="1"/>
  <c r="I643" i="1" s="1"/>
  <c r="H639" i="1" a="1"/>
  <c r="I639" i="1" s="1"/>
  <c r="H637" i="1" a="1"/>
  <c r="I637" i="1" s="1"/>
  <c r="H634" i="1" a="1"/>
  <c r="I634" i="1" s="1"/>
  <c r="H630" i="1" a="1"/>
  <c r="I630" i="1" s="1"/>
  <c r="H626" i="1" a="1"/>
  <c r="I626" i="1" s="1"/>
  <c r="H623" i="1" a="1"/>
  <c r="I623" i="1" s="1"/>
  <c r="H619" i="1" a="1"/>
  <c r="I619" i="1" s="1"/>
  <c r="H614" i="1" a="1"/>
  <c r="I614" i="1" s="1"/>
  <c r="H610" i="1" a="1"/>
  <c r="I610" i="1" s="1"/>
  <c r="H607" i="1" a="1"/>
  <c r="I607" i="1" s="1"/>
  <c r="H604" i="1" a="1"/>
  <c r="I604" i="1" s="1"/>
  <c r="H601" i="1" a="1"/>
  <c r="I601" i="1" s="1"/>
  <c r="H598" i="1" a="1"/>
  <c r="I598" i="1" s="1"/>
  <c r="H594" i="1" a="1"/>
  <c r="I594" i="1" s="1"/>
  <c r="H590" i="1" a="1"/>
  <c r="I590" i="1" s="1"/>
  <c r="H587" i="1" a="1"/>
  <c r="I587" i="1" s="1"/>
  <c r="H583" i="1" a="1"/>
  <c r="I583" i="1" s="1"/>
  <c r="H579" i="1" a="1"/>
  <c r="I579" i="1" s="1"/>
  <c r="H575" i="1" a="1"/>
  <c r="I575" i="1" s="1"/>
  <c r="H572" i="1" a="1"/>
  <c r="I572" i="1" s="1"/>
  <c r="H567" i="1" a="1"/>
  <c r="I567" i="1" s="1"/>
  <c r="H563" i="1" a="1"/>
  <c r="I563" i="1" s="1"/>
  <c r="H559" i="1" a="1"/>
  <c r="I559" i="1" s="1"/>
  <c r="H555" i="1" a="1"/>
  <c r="I555" i="1" s="1"/>
  <c r="H551" i="1" a="1"/>
  <c r="I551" i="1" s="1"/>
  <c r="H546" i="1" a="1"/>
  <c r="I546" i="1" s="1"/>
  <c r="H1140" i="1" a="1"/>
  <c r="I1140" i="1" s="1"/>
  <c r="H1116" i="1" a="1"/>
  <c r="I1116" i="1" s="1"/>
  <c r="H1094" i="1" a="1"/>
  <c r="I1094" i="1" s="1"/>
  <c r="H1074" i="1" a="1"/>
  <c r="I1074" i="1" s="1"/>
  <c r="H1054" i="1" a="1"/>
  <c r="I1054" i="1" s="1"/>
  <c r="H1032" i="1" a="1"/>
  <c r="I1032" i="1" s="1"/>
  <c r="H1011" i="1" a="1"/>
  <c r="I1011" i="1" s="1"/>
  <c r="H991" i="1" a="1"/>
  <c r="I991" i="1" s="1"/>
  <c r="H962" i="1" a="1"/>
  <c r="I962" i="1" s="1"/>
  <c r="F18" i="3" s="1"/>
  <c r="H943" i="1" a="1"/>
  <c r="I943" i="1" s="1"/>
  <c r="H909" i="1" a="1"/>
  <c r="I909" i="1" s="1"/>
  <c r="H891" i="1" a="1"/>
  <c r="I891" i="1" s="1"/>
  <c r="H857" i="1" a="1"/>
  <c r="I857" i="1" s="1"/>
  <c r="H825" i="1" a="1"/>
  <c r="I825" i="1" s="1"/>
  <c r="H794" i="1" a="1"/>
  <c r="I794" i="1" s="1"/>
  <c r="H768" i="1" a="1"/>
  <c r="I768" i="1" s="1"/>
  <c r="H737" i="1" a="1"/>
  <c r="I737" i="1" s="1"/>
  <c r="H713" i="1" a="1"/>
  <c r="I713" i="1" s="1"/>
  <c r="H677" i="1" a="1"/>
  <c r="I677" i="1" s="1"/>
  <c r="H533" i="1" a="1"/>
  <c r="I533" i="1" s="1"/>
  <c r="H516" i="1" a="1"/>
  <c r="I516" i="1" s="1"/>
  <c r="H495" i="1" a="1"/>
  <c r="I495" i="1" s="1"/>
  <c r="H476" i="1" a="1"/>
  <c r="I476" i="1" s="1"/>
  <c r="H449" i="1" a="1"/>
  <c r="I449" i="1" s="1"/>
  <c r="H429" i="1" a="1"/>
  <c r="I429" i="1" s="1"/>
  <c r="H400" i="1" a="1"/>
  <c r="I400" i="1" s="1"/>
  <c r="H367" i="1" a="1"/>
  <c r="I367" i="1" s="1"/>
  <c r="H338" i="1" a="1"/>
  <c r="I338" i="1" s="1"/>
  <c r="H310" i="1" a="1"/>
  <c r="I310" i="1" s="1"/>
  <c r="H285" i="1" a="1"/>
  <c r="I285" i="1" s="1"/>
  <c r="H253" i="1" a="1"/>
  <c r="I253" i="1" s="1"/>
  <c r="H223" i="1" a="1"/>
  <c r="I223" i="1" s="1"/>
  <c r="H199" i="1" a="1"/>
  <c r="I199" i="1" s="1"/>
  <c r="H177" i="1" a="1"/>
  <c r="I177" i="1" s="1"/>
  <c r="H154" i="1" a="1"/>
  <c r="I154" i="1" s="1"/>
  <c r="H136" i="1" a="1"/>
  <c r="I136" i="1" s="1"/>
  <c r="H117" i="1" a="1"/>
  <c r="I117" i="1" s="1"/>
  <c r="H90" i="1" a="1"/>
  <c r="I90" i="1" s="1"/>
  <c r="H1154" i="1" a="1"/>
  <c r="I1154" i="1" s="1"/>
  <c r="H1124" i="1" a="1"/>
  <c r="I1124" i="1" s="1"/>
  <c r="H426" i="1" a="1"/>
  <c r="I426" i="1" s="1"/>
  <c r="H410" i="1" a="1"/>
  <c r="I410" i="1" s="1"/>
  <c r="H393" i="1" a="1"/>
  <c r="I393" i="1" s="1"/>
  <c r="H376" i="1" a="1"/>
  <c r="I376" i="1" s="1"/>
  <c r="H354" i="1" a="1"/>
  <c r="I354" i="1" s="1"/>
  <c r="H342" i="1" a="1"/>
  <c r="I342" i="1" s="1"/>
  <c r="H320" i="1" a="1"/>
  <c r="I320" i="1" s="1"/>
  <c r="H303" i="1" a="1"/>
  <c r="I303" i="1" s="1"/>
  <c r="H286" i="1" a="1"/>
  <c r="I286" i="1" s="1"/>
  <c r="H268" i="1" a="1"/>
  <c r="I268" i="1" s="1"/>
  <c r="H255" i="1" a="1"/>
  <c r="I255" i="1" s="1"/>
  <c r="H240" i="1" a="1"/>
  <c r="I240" i="1" s="1"/>
  <c r="H222" i="1" a="1"/>
  <c r="I222" i="1" s="1"/>
  <c r="H209" i="1" a="1"/>
  <c r="I209" i="1" s="1"/>
  <c r="H190" i="1" a="1"/>
  <c r="I190" i="1" s="1"/>
  <c r="H176" i="1" a="1"/>
  <c r="I176" i="1" s="1"/>
  <c r="H160" i="1" a="1"/>
  <c r="I160" i="1" s="1"/>
  <c r="H148" i="1" a="1"/>
  <c r="I148" i="1" s="1"/>
  <c r="H134" i="1" a="1"/>
  <c r="I134" i="1" s="1"/>
  <c r="H122" i="1" a="1"/>
  <c r="I122" i="1" s="1"/>
  <c r="H105" i="1" a="1"/>
  <c r="I105" i="1" s="1"/>
  <c r="H93" i="1" a="1"/>
  <c r="I93" i="1" s="1"/>
  <c r="H81" i="1" a="1"/>
  <c r="I81" i="1" s="1"/>
  <c r="H68" i="1" a="1"/>
  <c r="I68" i="1" s="1"/>
  <c r="H58" i="1" a="1"/>
  <c r="I58" i="1" s="1"/>
  <c r="H49" i="1" a="1"/>
  <c r="I49" i="1" s="1"/>
  <c r="H38" i="1" a="1"/>
  <c r="I38" i="1" s="1"/>
  <c r="H29" i="1" a="1"/>
  <c r="I29" i="1" s="1"/>
  <c r="H15" i="1" a="1"/>
  <c r="I15" i="1" s="1"/>
  <c r="H5" i="1" a="1"/>
  <c r="I5" i="1" s="1"/>
  <c r="H1138" i="1" a="1"/>
  <c r="I1138" i="1" s="1"/>
  <c r="H1114" i="1" a="1"/>
  <c r="I1114" i="1" s="1"/>
  <c r="H1091" i="1" a="1"/>
  <c r="I1091" i="1" s="1"/>
  <c r="H1065" i="1" a="1"/>
  <c r="I1065" i="1" s="1"/>
  <c r="H1045" i="1" a="1"/>
  <c r="I1045" i="1" s="1"/>
  <c r="H1024" i="1" a="1"/>
  <c r="I1024" i="1" s="1"/>
  <c r="H1003" i="1" a="1"/>
  <c r="I1003" i="1" s="1"/>
  <c r="H973" i="1" a="1"/>
  <c r="I973" i="1" s="1"/>
  <c r="H950" i="1" a="1"/>
  <c r="I950" i="1" s="1"/>
  <c r="H925" i="1" a="1"/>
  <c r="I925" i="1" s="1"/>
  <c r="H899" i="1" a="1"/>
  <c r="I899" i="1" s="1"/>
  <c r="H870" i="1" a="1"/>
  <c r="I870" i="1" s="1"/>
  <c r="H837" i="1" a="1"/>
  <c r="I837" i="1" s="1"/>
  <c r="H802" i="1" a="1"/>
  <c r="I802" i="1" s="1"/>
  <c r="H776" i="1" a="1"/>
  <c r="I776" i="1" s="1"/>
  <c r="H741" i="1" a="1"/>
  <c r="I741" i="1" s="1"/>
  <c r="H714" i="1" a="1"/>
  <c r="I714" i="1" s="1"/>
  <c r="H688" i="1" a="1"/>
  <c r="I688" i="1" s="1"/>
  <c r="H539" i="1" a="1"/>
  <c r="I539" i="1" s="1"/>
  <c r="H523" i="1" a="1"/>
  <c r="I523" i="1" s="1"/>
  <c r="H502" i="1" a="1"/>
  <c r="I502" i="1" s="1"/>
  <c r="H403" i="1" a="1"/>
  <c r="I403" i="1" s="1"/>
  <c r="H12" i="1" a="1"/>
  <c r="I12" i="1" s="1"/>
  <c r="H3" i="1" a="1"/>
  <c r="H492" i="1" a="1"/>
  <c r="I492" i="1" s="1"/>
  <c r="H458" i="1" a="1"/>
  <c r="I458" i="1" s="1"/>
  <c r="H439" i="1" a="1"/>
  <c r="I439" i="1" s="1"/>
  <c r="H412" i="1" a="1"/>
  <c r="I412" i="1" s="1"/>
  <c r="H392" i="1" a="1"/>
  <c r="I392" i="1" s="1"/>
  <c r="H382" i="1" a="1"/>
  <c r="I382" i="1" s="1"/>
  <c r="H361" i="1" a="1"/>
  <c r="I361" i="1" s="1"/>
  <c r="H341" i="1" a="1"/>
  <c r="I341" i="1" s="1"/>
  <c r="H324" i="1" a="1"/>
  <c r="I324" i="1" s="1"/>
  <c r="H309" i="1" a="1"/>
  <c r="I309" i="1" s="1"/>
  <c r="H288" i="1" a="1"/>
  <c r="I288" i="1" s="1"/>
  <c r="H272" i="1" a="1"/>
  <c r="I272" i="1" s="1"/>
  <c r="H256" i="1" a="1"/>
  <c r="I256" i="1" s="1"/>
  <c r="H238" i="1" a="1"/>
  <c r="I238" i="1" s="1"/>
  <c r="H225" i="1" a="1"/>
  <c r="I225" i="1" s="1"/>
  <c r="H1201" i="1" a="1"/>
  <c r="I1201" i="1" s="1"/>
  <c r="H1197" i="1" a="1"/>
  <c r="I1197" i="1" s="1"/>
  <c r="H1193" i="1" a="1"/>
  <c r="I1193" i="1" s="1"/>
  <c r="H1190" i="1" a="1"/>
  <c r="I1190" i="1" s="1"/>
  <c r="H1187" i="1" a="1"/>
  <c r="I1187" i="1" s="1"/>
  <c r="H1183" i="1" a="1"/>
  <c r="I1183" i="1" s="1"/>
  <c r="H1179" i="1" a="1"/>
  <c r="I1179" i="1" s="1"/>
  <c r="H1175" i="1" a="1"/>
  <c r="I1175" i="1" s="1"/>
  <c r="H1170" i="1" a="1"/>
  <c r="I1170" i="1" s="1"/>
  <c r="H1167" i="1" a="1"/>
  <c r="I1167" i="1" s="1"/>
  <c r="H1164" i="1" a="1"/>
  <c r="I1164" i="1" s="1"/>
  <c r="H1160" i="1" a="1"/>
  <c r="I1160" i="1" s="1"/>
  <c r="H1152" i="1" a="1"/>
  <c r="I1152" i="1" s="1"/>
  <c r="H1127" i="1" a="1"/>
  <c r="I1127" i="1" s="1"/>
  <c r="H1102" i="1" a="1"/>
  <c r="I1102" i="1" s="1"/>
  <c r="H1092" i="1" a="1"/>
  <c r="I1092" i="1" s="1"/>
  <c r="H1072" i="1" a="1"/>
  <c r="I1072" i="1" s="1"/>
  <c r="H1052" i="1" a="1"/>
  <c r="I1052" i="1" s="1"/>
  <c r="H1034" i="1" a="1"/>
  <c r="I1034" i="1" s="1"/>
  <c r="H1025" i="1" a="1"/>
  <c r="I1025" i="1" s="1"/>
  <c r="H1005" i="1" a="1"/>
  <c r="I1005" i="1" s="1"/>
  <c r="H987" i="1" a="1"/>
  <c r="I987" i="1" s="1"/>
  <c r="H961" i="1" a="1"/>
  <c r="I961" i="1" s="1"/>
  <c r="H942" i="1" a="1"/>
  <c r="I942" i="1" s="1"/>
  <c r="H921" i="1" a="1"/>
  <c r="I921" i="1" s="1"/>
  <c r="H889" i="1" a="1"/>
  <c r="I889" i="1" s="1"/>
  <c r="H876" i="1" a="1"/>
  <c r="I876" i="1" s="1"/>
  <c r="H855" i="1" a="1"/>
  <c r="I855" i="1" s="1"/>
  <c r="H840" i="1" a="1"/>
  <c r="I840" i="1" s="1"/>
  <c r="H822" i="1" a="1"/>
  <c r="I822" i="1" s="1"/>
  <c r="H801" i="1" a="1"/>
  <c r="I801" i="1" s="1"/>
  <c r="H781" i="1" a="1"/>
  <c r="I781" i="1" s="1"/>
  <c r="H771" i="1" a="1"/>
  <c r="I771" i="1" s="1"/>
  <c r="H755" i="1" a="1"/>
  <c r="I755" i="1" s="1"/>
  <c r="H745" i="1" a="1"/>
  <c r="I745" i="1" s="1"/>
  <c r="H727" i="1" a="1"/>
  <c r="I727" i="1" s="1"/>
  <c r="H711" i="1" a="1"/>
  <c r="I711" i="1" s="1"/>
  <c r="H698" i="1" a="1"/>
  <c r="I698" i="1" s="1"/>
  <c r="H685" i="1" a="1"/>
  <c r="I685" i="1" s="1"/>
  <c r="H680" i="1" a="1"/>
  <c r="I680" i="1" s="1"/>
  <c r="H668" i="1" a="1"/>
  <c r="I668" i="1" s="1"/>
  <c r="H665" i="1" a="1"/>
  <c r="I665" i="1" s="1"/>
  <c r="H662" i="1" a="1"/>
  <c r="I662" i="1" s="1"/>
  <c r="H659" i="1" a="1"/>
  <c r="I659" i="1" s="1"/>
  <c r="H656" i="1" a="1"/>
  <c r="I656" i="1" s="1"/>
  <c r="H655" i="1" a="1"/>
  <c r="I655" i="1" s="1"/>
  <c r="H642" i="1" a="1"/>
  <c r="I642" i="1" s="1"/>
  <c r="H638" i="1" a="1"/>
  <c r="I638" i="1" s="1"/>
  <c r="H635" i="1" a="1"/>
  <c r="I635" i="1" s="1"/>
  <c r="H632" i="1" a="1"/>
  <c r="I632" i="1" s="1"/>
  <c r="H628" i="1" a="1"/>
  <c r="I628" i="1" s="1"/>
  <c r="H625" i="1" a="1"/>
  <c r="I625" i="1" s="1"/>
  <c r="H621" i="1" a="1"/>
  <c r="I621" i="1" s="1"/>
  <c r="H617" i="1" a="1"/>
  <c r="I617" i="1" s="1"/>
  <c r="H615" i="1" a="1"/>
  <c r="I615" i="1" s="1"/>
  <c r="H611" i="1" a="1"/>
  <c r="I611" i="1" s="1"/>
  <c r="H596" i="1" a="1"/>
  <c r="I596" i="1" s="1"/>
  <c r="H591" i="1" a="1"/>
  <c r="I591" i="1" s="1"/>
  <c r="H586" i="1" a="1"/>
  <c r="I586" i="1" s="1"/>
  <c r="H582" i="1" a="1"/>
  <c r="I582" i="1" s="1"/>
  <c r="H580" i="1" a="1"/>
  <c r="I580" i="1" s="1"/>
  <c r="H577" i="1" a="1"/>
  <c r="I577" i="1" s="1"/>
  <c r="H573" i="1" a="1"/>
  <c r="I573" i="1" s="1"/>
  <c r="H569" i="1" a="1"/>
  <c r="I569" i="1" s="1"/>
  <c r="H565" i="1" a="1"/>
  <c r="I565" i="1" s="1"/>
  <c r="H561" i="1" a="1"/>
  <c r="I561" i="1" s="1"/>
  <c r="H557" i="1" a="1"/>
  <c r="I557" i="1" s="1"/>
  <c r="H554" i="1" a="1"/>
  <c r="I554" i="1" s="1"/>
  <c r="H550" i="1" a="1"/>
  <c r="I550" i="1" s="1"/>
  <c r="H547" i="1" a="1"/>
  <c r="I547" i="1" s="1"/>
  <c r="H1145" i="1" a="1"/>
  <c r="I1145" i="1" s="1"/>
  <c r="H1122" i="1" a="1"/>
  <c r="I1122" i="1" s="1"/>
  <c r="H1099" i="1" a="1"/>
  <c r="I1099" i="1" s="1"/>
  <c r="H1084" i="1" a="1"/>
  <c r="I1084" i="1" s="1"/>
  <c r="H1069" i="1" a="1"/>
  <c r="I1069" i="1" s="1"/>
  <c r="H1049" i="1" a="1"/>
  <c r="I1049" i="1" s="1"/>
  <c r="H1027" i="1" a="1"/>
  <c r="I1027" i="1" s="1"/>
  <c r="H1006" i="1" a="1"/>
  <c r="I1006" i="1" s="1"/>
  <c r="H998" i="1" a="1"/>
  <c r="I998" i="1" s="1"/>
  <c r="H966" i="1" a="1"/>
  <c r="I966" i="1" s="1"/>
  <c r="H948" i="1" a="1"/>
  <c r="I948" i="1" s="1"/>
  <c r="H922" i="1" a="1"/>
  <c r="I922" i="1" s="1"/>
  <c r="H904" i="1" a="1"/>
  <c r="I904" i="1" s="1"/>
  <c r="H885" i="1" a="1"/>
  <c r="I885" i="1" s="1"/>
  <c r="H862" i="1" a="1"/>
  <c r="I862" i="1" s="1"/>
  <c r="H838" i="1" a="1"/>
  <c r="I838" i="1" s="1"/>
  <c r="H809" i="1" a="1"/>
  <c r="I809" i="1" s="1"/>
  <c r="H784" i="1" a="1"/>
  <c r="I784" i="1" s="1"/>
  <c r="H758" i="1" a="1"/>
  <c r="I758" i="1" s="1"/>
  <c r="H733" i="1" a="1"/>
  <c r="I733" i="1" s="1"/>
  <c r="H709" i="1" a="1"/>
  <c r="I709" i="1" s="1"/>
  <c r="H690" i="1" a="1"/>
  <c r="I690" i="1" s="1"/>
  <c r="H544" i="1" a="1"/>
  <c r="I544" i="1" s="1"/>
  <c r="H529" i="1" a="1"/>
  <c r="I529" i="1" s="1"/>
  <c r="H508" i="1" a="1"/>
  <c r="I508" i="1" s="1"/>
  <c r="H487" i="1" a="1"/>
  <c r="I487" i="1" s="1"/>
  <c r="H468" i="1" a="1"/>
  <c r="I468" i="1" s="1"/>
  <c r="H441" i="1" a="1"/>
  <c r="I441" i="1" s="1"/>
  <c r="H424" i="1" a="1"/>
  <c r="I424" i="1" s="1"/>
  <c r="H405" i="1" a="1"/>
  <c r="I405" i="1" s="1"/>
  <c r="H383" i="1" a="1"/>
  <c r="I383" i="1" s="1"/>
  <c r="H355" i="1" a="1"/>
  <c r="I355" i="1" s="1"/>
  <c r="H327" i="1" a="1"/>
  <c r="I327" i="1" s="1"/>
  <c r="H305" i="1" a="1"/>
  <c r="I305" i="1" s="1"/>
  <c r="H290" i="1" a="1"/>
  <c r="I290" i="1" s="1"/>
  <c r="H264" i="1" a="1"/>
  <c r="I264" i="1" s="1"/>
  <c r="H236" i="1" a="1"/>
  <c r="I236" i="1" s="1"/>
  <c r="H215" i="1" a="1"/>
  <c r="I215" i="1" s="1"/>
  <c r="H206" i="1" a="1"/>
  <c r="I206" i="1" s="1"/>
  <c r="H191" i="1" a="1"/>
  <c r="I191" i="1" s="1"/>
  <c r="H174" i="1" a="1"/>
  <c r="I174" i="1" s="1"/>
  <c r="H159" i="1" a="1"/>
  <c r="I159" i="1" s="1"/>
  <c r="H139" i="1" a="1"/>
  <c r="I139" i="1" s="1"/>
  <c r="H125" i="1" a="1"/>
  <c r="I125" i="1" s="1"/>
  <c r="H107" i="1" a="1"/>
  <c r="I107" i="1" s="1"/>
  <c r="H83" i="1" a="1"/>
  <c r="I83" i="1" s="1"/>
  <c r="H27" i="1" a="1"/>
  <c r="I27" i="1" s="1"/>
  <c r="H1143" i="1" a="1"/>
  <c r="I1143" i="1" s="1"/>
  <c r="H1113" i="1" a="1"/>
  <c r="I1113" i="1" s="1"/>
  <c r="H422" i="1" a="1"/>
  <c r="I422" i="1" s="1"/>
  <c r="H406" i="1" a="1"/>
  <c r="I406" i="1" s="1"/>
  <c r="H396" i="1" a="1"/>
  <c r="I396" i="1" s="1"/>
  <c r="H384" i="1" a="1"/>
  <c r="I384" i="1" s="1"/>
  <c r="H368" i="1" a="1"/>
  <c r="I368" i="1" s="1"/>
  <c r="H349" i="1" a="1"/>
  <c r="I349" i="1" s="1"/>
  <c r="H337" i="1" a="1"/>
  <c r="I337" i="1" s="1"/>
  <c r="H325" i="1" a="1"/>
  <c r="I325" i="1" s="1"/>
  <c r="H311" i="1" a="1"/>
  <c r="I311" i="1" s="1"/>
  <c r="H294" i="1" a="1"/>
  <c r="I294" i="1" s="1"/>
  <c r="H279" i="1" a="1"/>
  <c r="I279" i="1" s="1"/>
  <c r="H271" i="1" a="1"/>
  <c r="I271" i="1" s="1"/>
  <c r="H258" i="1" a="1"/>
  <c r="I258" i="1" s="1"/>
  <c r="H249" i="1" a="1"/>
  <c r="I249" i="1" s="1"/>
  <c r="H234" i="1" a="1"/>
  <c r="I234" i="1" s="1"/>
  <c r="H220" i="1" a="1"/>
  <c r="I220" i="1" s="1"/>
  <c r="H203" i="1" a="1"/>
  <c r="I203" i="1" s="1"/>
  <c r="H193" i="1" a="1"/>
  <c r="I193" i="1" s="1"/>
  <c r="H179" i="1" a="1"/>
  <c r="I179" i="1" s="1"/>
  <c r="H165" i="1" a="1"/>
  <c r="I165" i="1" s="1"/>
  <c r="H155" i="1" a="1"/>
  <c r="I155" i="1" s="1"/>
  <c r="H145" i="1" a="1"/>
  <c r="I145" i="1" s="1"/>
  <c r="H132" i="1" a="1"/>
  <c r="I132" i="1" s="1"/>
  <c r="H119" i="1" a="1"/>
  <c r="I119" i="1" s="1"/>
  <c r="H108" i="1" a="1"/>
  <c r="I108" i="1" s="1"/>
  <c r="H99" i="1" a="1"/>
  <c r="I99" i="1" s="1"/>
  <c r="H86" i="1" a="1"/>
  <c r="I86" i="1" s="1"/>
  <c r="H76" i="1" a="1"/>
  <c r="I76" i="1" s="1"/>
  <c r="H65" i="1" a="1"/>
  <c r="I65" i="1" s="1"/>
  <c r="H55" i="1" a="1"/>
  <c r="I55" i="1" s="1"/>
  <c r="H47" i="1" a="1"/>
  <c r="I47" i="1" s="1"/>
  <c r="H39" i="1" a="1"/>
  <c r="I39" i="1" s="1"/>
  <c r="H32" i="1" a="1"/>
  <c r="I32" i="1" s="1"/>
  <c r="H21" i="1" a="1"/>
  <c r="I21" i="1" s="1"/>
  <c r="H11" i="1" a="1"/>
  <c r="I11" i="1" s="1"/>
  <c r="H982" i="1" a="1"/>
  <c r="I982" i="1" s="1"/>
  <c r="H954" i="1" a="1"/>
  <c r="I954" i="1" s="1"/>
  <c r="H930" i="1" a="1"/>
  <c r="I930" i="1" s="1"/>
  <c r="H910" i="1" a="1"/>
  <c r="I910" i="1" s="1"/>
  <c r="H890" i="1" a="1"/>
  <c r="I890" i="1" s="1"/>
  <c r="H864" i="1" a="1"/>
  <c r="I864" i="1" s="1"/>
  <c r="H842" i="1" a="1"/>
  <c r="I842" i="1" s="1"/>
  <c r="H808" i="1" a="1"/>
  <c r="I808" i="1" s="1"/>
  <c r="H782" i="1" a="1"/>
  <c r="I782" i="1" s="1"/>
  <c r="H772" i="1" a="1"/>
  <c r="I772" i="1" s="1"/>
  <c r="H751" i="1" a="1"/>
  <c r="I751" i="1" s="1"/>
  <c r="H724" i="1" a="1"/>
  <c r="I724" i="1" s="1"/>
  <c r="H697" i="1" a="1"/>
  <c r="I697" i="1" s="1"/>
  <c r="H669" i="1" a="1"/>
  <c r="I669" i="1" s="1"/>
  <c r="H531" i="1" a="1"/>
  <c r="I531" i="1" s="1"/>
  <c r="H515" i="1" a="1"/>
  <c r="I515" i="1" s="1"/>
  <c r="H498" i="1" a="1"/>
  <c r="I498" i="1" s="1"/>
  <c r="H478" i="1" a="1"/>
  <c r="I478" i="1" s="1"/>
  <c r="H461" i="1" a="1"/>
  <c r="I461" i="1" s="1"/>
  <c r="H446" i="1" a="1"/>
  <c r="I446" i="1" s="1"/>
  <c r="H438" i="1" a="1"/>
  <c r="I438" i="1" s="1"/>
  <c r="H419" i="1" a="1"/>
  <c r="I419" i="1" s="1"/>
  <c r="H391" i="1" a="1"/>
  <c r="I391" i="1" s="1"/>
  <c r="H18" i="1" a="1"/>
  <c r="I18" i="1" s="1"/>
  <c r="H6" i="1" a="1"/>
  <c r="I6" i="1" s="1"/>
  <c r="H501" i="1" a="1"/>
  <c r="I501" i="1" s="1"/>
  <c r="H462" i="1" a="1"/>
  <c r="I462" i="1" s="1"/>
  <c r="H448" i="1" a="1"/>
  <c r="I448" i="1" s="1"/>
  <c r="H431" i="1" a="1"/>
  <c r="I431" i="1" s="1"/>
  <c r="H398" i="1" a="1"/>
  <c r="I398" i="1" s="1"/>
  <c r="H371" i="1" a="1"/>
  <c r="I371" i="1" s="1"/>
  <c r="H351" i="1" a="1"/>
  <c r="I351" i="1" s="1"/>
  <c r="H314" i="1" a="1"/>
  <c r="I314" i="1" s="1"/>
  <c r="H293" i="1" a="1"/>
  <c r="I293" i="1" s="1"/>
  <c r="H267" i="1" a="1"/>
  <c r="I267" i="1" s="1"/>
  <c r="H242" i="1" a="1"/>
  <c r="I242" i="1" s="1"/>
  <c r="C18" i="3" s="1"/>
  <c r="H221" i="1" a="1"/>
  <c r="I221" i="1" s="1"/>
  <c r="H1199" i="1" a="1"/>
  <c r="I1199" i="1" s="1"/>
  <c r="H1196" i="1" a="1"/>
  <c r="I1196" i="1" s="1"/>
  <c r="H1189" i="1" a="1"/>
  <c r="I1189" i="1" s="1"/>
  <c r="H1185" i="1" a="1"/>
  <c r="I1185" i="1" s="1"/>
  <c r="H1181" i="1" a="1"/>
  <c r="I1181" i="1" s="1"/>
  <c r="H1176" i="1" a="1"/>
  <c r="I1176" i="1" s="1"/>
  <c r="H1172" i="1" a="1"/>
  <c r="I1172" i="1" s="1"/>
  <c r="H1166" i="1" a="1"/>
  <c r="I1166" i="1" s="1"/>
  <c r="H1162" i="1" a="1"/>
  <c r="I1162" i="1" s="1"/>
  <c r="H1158" i="1" a="1"/>
  <c r="I1158" i="1" s="1"/>
  <c r="H1139" i="1" a="1"/>
  <c r="I1139" i="1" s="1"/>
  <c r="H1115" i="1" a="1"/>
  <c r="I1115" i="1" s="1"/>
  <c r="H1082" i="1" a="1"/>
  <c r="I1082" i="1" s="1"/>
  <c r="H1067" i="1" a="1"/>
  <c r="I1067" i="1" s="1"/>
  <c r="H1046" i="1" a="1"/>
  <c r="I1046" i="1" s="1"/>
  <c r="H1015" i="1" a="1"/>
  <c r="I1015" i="1" s="1"/>
  <c r="H995" i="1" a="1"/>
  <c r="I995" i="1" s="1"/>
  <c r="H978" i="1" a="1"/>
  <c r="I978" i="1" s="1"/>
  <c r="H952" i="1" a="1"/>
  <c r="I952" i="1" s="1"/>
  <c r="H931" i="1" a="1"/>
  <c r="I931" i="1" s="1"/>
  <c r="H907" i="1" a="1"/>
  <c r="I907" i="1" s="1"/>
  <c r="H886" i="1" a="1"/>
  <c r="I886" i="1" s="1"/>
  <c r="H860" i="1" a="1"/>
  <c r="I860" i="1" s="1"/>
  <c r="H835" i="1" a="1"/>
  <c r="I835" i="1" s="1"/>
  <c r="H817" i="1" a="1"/>
  <c r="I817" i="1" s="1"/>
  <c r="H796" i="1" a="1"/>
  <c r="I796" i="1" s="1"/>
  <c r="H777" i="1" a="1"/>
  <c r="I777" i="1" s="1"/>
  <c r="H760" i="1" a="1"/>
  <c r="I760" i="1" s="1"/>
  <c r="H738" i="1" a="1"/>
  <c r="I738" i="1" s="1"/>
  <c r="H722" i="1" a="1"/>
  <c r="I722" i="1" s="1"/>
  <c r="E18" i="3" s="1"/>
  <c r="H707" i="1" a="1"/>
  <c r="I707" i="1" s="1"/>
  <c r="H693" i="1" a="1"/>
  <c r="I693" i="1" s="1"/>
  <c r="H675" i="1" a="1"/>
  <c r="I675" i="1" s="1"/>
  <c r="H667" i="1" a="1"/>
  <c r="I667" i="1" s="1"/>
  <c r="H664" i="1" a="1"/>
  <c r="I664" i="1" s="1"/>
  <c r="H661" i="1" a="1"/>
  <c r="I661" i="1" s="1"/>
  <c r="H658" i="1" a="1"/>
  <c r="I658" i="1" s="1"/>
  <c r="H653" i="1" a="1"/>
  <c r="I653" i="1" s="1"/>
  <c r="H651" i="1" a="1"/>
  <c r="I651" i="1" s="1"/>
  <c r="H649" i="1" a="1"/>
  <c r="I649" i="1" s="1"/>
  <c r="H647" i="1" a="1"/>
  <c r="I647" i="1" s="1"/>
  <c r="H645" i="1" a="1"/>
  <c r="I645" i="1" s="1"/>
  <c r="H644" i="1" a="1"/>
  <c r="I644" i="1" s="1"/>
  <c r="H640" i="1" a="1"/>
  <c r="I640" i="1" s="1"/>
  <c r="H636" i="1" a="1"/>
  <c r="I636" i="1" s="1"/>
  <c r="H633" i="1" a="1"/>
  <c r="I633" i="1" s="1"/>
  <c r="H629" i="1" a="1"/>
  <c r="I629" i="1" s="1"/>
  <c r="H624" i="1" a="1"/>
  <c r="I624" i="1" s="1"/>
  <c r="H620" i="1" a="1"/>
  <c r="I620" i="1" s="1"/>
  <c r="H616" i="1" a="1"/>
  <c r="I616" i="1" s="1"/>
  <c r="H612" i="1" a="1"/>
  <c r="I612" i="1" s="1"/>
  <c r="H608" i="1" a="1"/>
  <c r="I608" i="1" s="1"/>
  <c r="H605" i="1" a="1"/>
  <c r="I605" i="1" s="1"/>
  <c r="H602" i="1" a="1"/>
  <c r="I602" i="1" s="1"/>
  <c r="H599" i="1" a="1"/>
  <c r="I599" i="1" s="1"/>
  <c r="H595" i="1" a="1"/>
  <c r="I595" i="1" s="1"/>
  <c r="H592" i="1" a="1"/>
  <c r="I592" i="1" s="1"/>
  <c r="H588" i="1" a="1"/>
  <c r="I588" i="1" s="1"/>
  <c r="H584" i="1" a="1"/>
  <c r="I584" i="1" s="1"/>
  <c r="H581" i="1" a="1"/>
  <c r="I581" i="1" s="1"/>
  <c r="H578" i="1" a="1"/>
  <c r="I578" i="1" s="1"/>
  <c r="H576" i="1" a="1"/>
  <c r="I576" i="1" s="1"/>
  <c r="H571" i="1" a="1"/>
  <c r="I571" i="1" s="1"/>
  <c r="H568" i="1" a="1"/>
  <c r="I568" i="1" s="1"/>
  <c r="H564" i="1" a="1"/>
  <c r="I564" i="1" s="1"/>
  <c r="H560" i="1" a="1"/>
  <c r="I560" i="1" s="1"/>
  <c r="H556" i="1" a="1"/>
  <c r="I556" i="1" s="1"/>
  <c r="H552" i="1" a="1"/>
  <c r="I552" i="1" s="1"/>
  <c r="H548" i="1" a="1"/>
  <c r="I548" i="1" s="1"/>
  <c r="H1151" i="1" a="1"/>
  <c r="I1151" i="1" s="1"/>
  <c r="H1128" i="1" a="1"/>
  <c r="I1128" i="1" s="1"/>
  <c r="H1104" i="1" a="1"/>
  <c r="I1104" i="1" s="1"/>
  <c r="H1088" i="1" a="1"/>
  <c r="I1088" i="1" s="1"/>
  <c r="H1064" i="1" a="1"/>
  <c r="I1064" i="1" s="1"/>
  <c r="H1043" i="1" a="1"/>
  <c r="I1043" i="1" s="1"/>
  <c r="H1022" i="1" a="1"/>
  <c r="I1022" i="1" s="1"/>
  <c r="H1001" i="1" a="1"/>
  <c r="I1001" i="1" s="1"/>
  <c r="H976" i="1" a="1"/>
  <c r="I976" i="1" s="1"/>
  <c r="H953" i="1" a="1"/>
  <c r="I953" i="1" s="1"/>
  <c r="H927" i="1" a="1"/>
  <c r="I927" i="1" s="1"/>
  <c r="H900" i="1" a="1"/>
  <c r="I900" i="1" s="1"/>
  <c r="H868" i="1" a="1"/>
  <c r="I868" i="1" s="1"/>
  <c r="H843" i="1" a="1"/>
  <c r="I843" i="1" s="1"/>
  <c r="H820" i="1" a="1"/>
  <c r="I820" i="1" s="1"/>
  <c r="H804" i="1" a="1"/>
  <c r="I804" i="1" s="1"/>
  <c r="H778" i="1" a="1"/>
  <c r="I778" i="1" s="1"/>
  <c r="H753" i="1" a="1"/>
  <c r="I753" i="1" s="1"/>
  <c r="H723" i="1" a="1"/>
  <c r="H699" i="1" a="1"/>
  <c r="I699" i="1" s="1"/>
  <c r="H672" i="1" a="1"/>
  <c r="I672" i="1" s="1"/>
  <c r="H524" i="1" a="1"/>
  <c r="I524" i="1" s="1"/>
  <c r="H504" i="1" a="1"/>
  <c r="I504" i="1" s="1"/>
  <c r="H484" i="1" a="1"/>
  <c r="I484" i="1" s="1"/>
  <c r="H459" i="1" a="1"/>
  <c r="I459" i="1" s="1"/>
  <c r="H433" i="1" a="1"/>
  <c r="I433" i="1" s="1"/>
  <c r="H409" i="1" a="1"/>
  <c r="I409" i="1" s="1"/>
  <c r="H378" i="1" a="1"/>
  <c r="I378" i="1" s="1"/>
  <c r="H344" i="1" a="1"/>
  <c r="I344" i="1" s="1"/>
  <c r="H316" i="1" a="1"/>
  <c r="I316" i="1" s="1"/>
  <c r="H278" i="1" a="1"/>
  <c r="I278" i="1" s="1"/>
  <c r="H248" i="1" a="1"/>
  <c r="I248" i="1" s="1"/>
  <c r="H227" i="1" a="1"/>
  <c r="I227" i="1" s="1"/>
  <c r="H208" i="1" a="1"/>
  <c r="I208" i="1" s="1"/>
  <c r="H188" i="1" a="1"/>
  <c r="I188" i="1" s="1"/>
  <c r="H170" i="1" a="1"/>
  <c r="I170" i="1" s="1"/>
  <c r="H151" i="1" a="1"/>
  <c r="I151" i="1" s="1"/>
  <c r="H131" i="1" a="1"/>
  <c r="I131" i="1" s="1"/>
  <c r="H114" i="1" a="1"/>
  <c r="I114" i="1" s="1"/>
  <c r="H97" i="1" a="1"/>
  <c r="I97" i="1" s="1"/>
  <c r="H75" i="1" a="1"/>
  <c r="I75" i="1" s="1"/>
  <c r="H1137" i="1" a="1"/>
  <c r="I1137" i="1" s="1"/>
  <c r="H1107" i="1" a="1"/>
  <c r="I1107" i="1" s="1"/>
  <c r="H418" i="1" a="1"/>
  <c r="I418" i="1" s="1"/>
  <c r="H401" i="1" a="1"/>
  <c r="I401" i="1" s="1"/>
  <c r="H381" i="1" a="1"/>
  <c r="I381" i="1" s="1"/>
  <c r="H364" i="1" a="1"/>
  <c r="I364" i="1" s="1"/>
  <c r="H345" i="1" a="1"/>
  <c r="I345" i="1" s="1"/>
  <c r="H329" i="1" a="1"/>
  <c r="I329" i="1" s="1"/>
  <c r="H306" i="1" a="1"/>
  <c r="I306" i="1" s="1"/>
  <c r="H291" i="1" a="1"/>
  <c r="I291" i="1" s="1"/>
  <c r="H276" i="1" a="1"/>
  <c r="I276" i="1" s="1"/>
  <c r="H261" i="1" a="1"/>
  <c r="I261" i="1" s="1"/>
  <c r="H244" i="1" a="1"/>
  <c r="I244" i="1" s="1"/>
  <c r="H226" i="1" a="1"/>
  <c r="I226" i="1" s="1"/>
  <c r="H212" i="1" a="1"/>
  <c r="I212" i="1" s="1"/>
  <c r="H196" i="1" a="1"/>
  <c r="I196" i="1" s="1"/>
  <c r="H182" i="1" a="1"/>
  <c r="I182" i="1" s="1"/>
  <c r="H168" i="1" a="1"/>
  <c r="I168" i="1" s="1"/>
  <c r="H153" i="1" a="1"/>
  <c r="I153" i="1" s="1"/>
  <c r="H142" i="1" a="1"/>
  <c r="I142" i="1" s="1"/>
  <c r="H126" i="1" a="1"/>
  <c r="I126" i="1" s="1"/>
  <c r="H113" i="1" a="1"/>
  <c r="I113" i="1" s="1"/>
  <c r="H100" i="1" a="1"/>
  <c r="I100" i="1" s="1"/>
  <c r="H88" i="1" a="1"/>
  <c r="I88" i="1" s="1"/>
  <c r="H73" i="1" a="1"/>
  <c r="I73" i="1" s="1"/>
  <c r="H63" i="1" a="1"/>
  <c r="I63" i="1" s="1"/>
  <c r="H51" i="1" a="1"/>
  <c r="I51" i="1" s="1"/>
  <c r="H41" i="1" a="1"/>
  <c r="I41" i="1" s="1"/>
  <c r="H30" i="1" a="1"/>
  <c r="I30" i="1" s="1"/>
  <c r="H19" i="1" a="1"/>
  <c r="I19" i="1" s="1"/>
  <c r="H9" i="1" a="1"/>
  <c r="H1150" i="1" a="1"/>
  <c r="I1150" i="1" s="1"/>
  <c r="H1126" i="1" a="1"/>
  <c r="I1126" i="1" s="1"/>
  <c r="H1103" i="1" a="1"/>
  <c r="I1103" i="1" s="1"/>
  <c r="H1080" i="1" a="1"/>
  <c r="I1080" i="1" s="1"/>
  <c r="H1060" i="1" a="1"/>
  <c r="I1060" i="1" s="1"/>
  <c r="H1040" i="1" a="1"/>
  <c r="I1040" i="1" s="1"/>
  <c r="H1019" i="1" a="1"/>
  <c r="I1019" i="1" s="1"/>
  <c r="H992" i="1" a="1"/>
  <c r="I992" i="1" s="1"/>
  <c r="H968" i="1" a="1"/>
  <c r="I968" i="1" s="1"/>
  <c r="H945" i="1" a="1"/>
  <c r="I945" i="1" s="1"/>
  <c r="H920" i="1" a="1"/>
  <c r="I920" i="1" s="1"/>
  <c r="H884" i="1" a="1"/>
  <c r="I884" i="1" s="1"/>
  <c r="H859" i="1" a="1"/>
  <c r="I859" i="1" s="1"/>
  <c r="H824" i="1" a="1"/>
  <c r="I824" i="1" s="1"/>
  <c r="H797" i="1" a="1"/>
  <c r="I797" i="1" s="1"/>
  <c r="H761" i="1" a="1"/>
  <c r="I761" i="1" s="1"/>
  <c r="H730" i="1" a="1"/>
  <c r="I730" i="1" s="1"/>
  <c r="H701" i="1" a="1"/>
  <c r="I701" i="1" s="1"/>
  <c r="H674" i="1" a="1"/>
  <c r="I674" i="1" s="1"/>
  <c r="H527" i="1" a="1"/>
  <c r="I527" i="1" s="1"/>
  <c r="H506" i="1" a="1"/>
  <c r="I506" i="1" s="1"/>
  <c r="H485" i="1" a="1"/>
  <c r="H469" i="1" a="1"/>
  <c r="I469" i="1" s="1"/>
  <c r="H455" i="1" a="1"/>
  <c r="I455" i="1" s="1"/>
  <c r="H423" i="1" a="1"/>
  <c r="I423" i="1" s="1"/>
  <c r="H397" i="1" a="1"/>
  <c r="I397" i="1" s="1"/>
  <c r="H8" i="1" a="1"/>
  <c r="I8" i="1" s="1"/>
  <c r="C26" i="9"/>
  <c r="B8" i="9"/>
  <c r="D3" i="9"/>
  <c r="C13" i="9"/>
  <c r="M24" i="13" s="1"/>
  <c r="C18" i="9"/>
  <c r="C17" i="9"/>
  <c r="M28" i="13" s="1"/>
  <c r="D7" i="9"/>
  <c r="B14" i="9"/>
  <c r="L25" i="13" s="1"/>
  <c r="H6" i="4"/>
  <c r="H4" i="4"/>
  <c r="D6" i="8"/>
  <c r="B7" i="8"/>
  <c r="A7" i="8" s="1"/>
  <c r="N6" i="8"/>
  <c r="E6" i="8"/>
  <c r="C6" i="8"/>
  <c r="F6" i="8"/>
  <c r="H6" i="8"/>
  <c r="H16" i="4"/>
  <c r="H14" i="4"/>
  <c r="H7" i="4"/>
  <c r="H13" i="4"/>
  <c r="H15" i="4"/>
  <c r="H5" i="4"/>
  <c r="I243" i="1"/>
  <c r="C5" i="6"/>
  <c r="C14" i="6"/>
  <c r="C4" i="6"/>
  <c r="C8" i="6" s="1"/>
  <c r="C13" i="6"/>
  <c r="C17" i="6"/>
  <c r="C16" i="6"/>
  <c r="C7" i="6"/>
  <c r="C15" i="6"/>
  <c r="C6" i="6"/>
  <c r="H15" i="6"/>
  <c r="B6" i="6"/>
  <c r="I3" i="1"/>
  <c r="B5" i="6"/>
  <c r="H14" i="6"/>
  <c r="I9" i="1"/>
  <c r="H13" i="6"/>
  <c r="B4" i="6"/>
  <c r="B8" i="6" s="1"/>
  <c r="H16" i="6"/>
  <c r="H17" i="6"/>
  <c r="B7" i="6"/>
  <c r="D17" i="6"/>
  <c r="D14" i="6"/>
  <c r="D5" i="6"/>
  <c r="D16" i="6"/>
  <c r="D7" i="6"/>
  <c r="I485" i="1"/>
  <c r="D6" i="6"/>
  <c r="D15" i="6"/>
  <c r="D13" i="6"/>
  <c r="D4" i="6"/>
  <c r="D8" i="6" s="1"/>
  <c r="E14" i="6"/>
  <c r="E17" i="6"/>
  <c r="E5" i="6"/>
  <c r="I723" i="1"/>
  <c r="E16" i="6"/>
  <c r="E7" i="6"/>
  <c r="E15" i="6"/>
  <c r="E6" i="6"/>
  <c r="E13" i="6"/>
  <c r="E4" i="6"/>
  <c r="E8" i="6" s="1"/>
  <c r="F5" i="6"/>
  <c r="F17" i="6"/>
  <c r="F14" i="6"/>
  <c r="F7" i="6"/>
  <c r="F16" i="6"/>
  <c r="I964" i="1"/>
  <c r="F6" i="6"/>
  <c r="F15" i="6"/>
  <c r="F4" i="6"/>
  <c r="F8" i="6" s="1"/>
  <c r="F13" i="6"/>
  <c r="L44" i="13" l="1"/>
  <c r="L43" i="13"/>
  <c r="L46" i="13"/>
  <c r="L47" i="13"/>
  <c r="C25" i="9"/>
  <c r="L45" i="13"/>
  <c r="C10" i="10"/>
  <c r="F10" i="10" s="1"/>
  <c r="G10" i="10" s="1"/>
  <c r="B18" i="3"/>
  <c r="B24" i="9"/>
  <c r="C24" i="9"/>
  <c r="B25" i="9"/>
  <c r="C23" i="9"/>
  <c r="C8" i="9"/>
  <c r="B27" i="9"/>
  <c r="C27" i="9"/>
  <c r="F14" i="3"/>
  <c r="F4" i="3"/>
  <c r="F8" i="3" s="1"/>
  <c r="D15" i="9"/>
  <c r="N26" i="13" s="1"/>
  <c r="E5" i="9"/>
  <c r="D13" i="9"/>
  <c r="N24" i="13" s="1"/>
  <c r="E3" i="9"/>
  <c r="D18" i="9"/>
  <c r="E7" i="9"/>
  <c r="D17" i="9"/>
  <c r="N28" i="13" s="1"/>
  <c r="E4" i="9"/>
  <c r="D14" i="9"/>
  <c r="N25" i="13" s="1"/>
  <c r="E6" i="9"/>
  <c r="D16" i="9"/>
  <c r="N27" i="13" s="1"/>
  <c r="E6" i="10"/>
  <c r="B23" i="9"/>
  <c r="D8" i="9"/>
  <c r="H7" i="8"/>
  <c r="B8" i="8"/>
  <c r="A8" i="8" s="1"/>
  <c r="C7" i="8"/>
  <c r="N7" i="8"/>
  <c r="D7" i="8"/>
  <c r="E7" i="8"/>
  <c r="F7" i="8"/>
  <c r="C17" i="3"/>
  <c r="C7" i="3"/>
  <c r="C16" i="3"/>
  <c r="C6" i="3"/>
  <c r="B15" i="3"/>
  <c r="B5" i="3"/>
  <c r="B14" i="3"/>
  <c r="B4" i="3"/>
  <c r="B8" i="3" s="1"/>
  <c r="E14" i="3"/>
  <c r="E4" i="3"/>
  <c r="E8" i="3" s="1"/>
  <c r="C15" i="3"/>
  <c r="C5" i="3"/>
  <c r="C14" i="3"/>
  <c r="C4" i="3"/>
  <c r="C8" i="3" s="1"/>
  <c r="B16" i="3"/>
  <c r="B6" i="3"/>
  <c r="E15" i="3"/>
  <c r="E5" i="3"/>
  <c r="H6" i="6"/>
  <c r="B17" i="3"/>
  <c r="B7" i="3"/>
  <c r="D15" i="3"/>
  <c r="D5" i="3"/>
  <c r="D17" i="3"/>
  <c r="D7" i="3"/>
  <c r="D16" i="3"/>
  <c r="D6" i="3"/>
  <c r="D14" i="3"/>
  <c r="D4" i="3"/>
  <c r="D8" i="3" s="1"/>
  <c r="E17" i="3"/>
  <c r="E7" i="3"/>
  <c r="E16" i="3"/>
  <c r="E6" i="3"/>
  <c r="F15" i="3"/>
  <c r="F5" i="3"/>
  <c r="F17" i="3"/>
  <c r="F7" i="3"/>
  <c r="F16" i="3"/>
  <c r="F6" i="3"/>
  <c r="H4" i="6"/>
  <c r="H8" i="6" s="1"/>
  <c r="H5" i="6"/>
  <c r="H7" i="6"/>
  <c r="E25" i="9" l="1"/>
  <c r="D25" i="9"/>
  <c r="E23" i="9"/>
  <c r="D23" i="9"/>
  <c r="E8" i="9"/>
  <c r="C7" i="10"/>
  <c r="F7" i="10" s="1"/>
  <c r="G7" i="10" s="1"/>
  <c r="E27" i="9"/>
  <c r="D27" i="9"/>
  <c r="D24" i="9"/>
  <c r="E24" i="9"/>
  <c r="E26" i="9"/>
  <c r="D26" i="9"/>
  <c r="B28" i="9"/>
  <c r="C28" i="9"/>
  <c r="D8" i="8"/>
  <c r="E8" i="8"/>
  <c r="F8" i="8"/>
  <c r="C8" i="8"/>
  <c r="B9" i="8"/>
  <c r="A9" i="8" s="1"/>
  <c r="N8" i="8"/>
  <c r="H8" i="8"/>
  <c r="H4" i="3"/>
  <c r="H8" i="3" s="1"/>
  <c r="J4" i="3"/>
  <c r="E7" i="10" s="1"/>
  <c r="H5" i="3"/>
  <c r="H6" i="3"/>
  <c r="H7" i="3"/>
  <c r="E28" i="9" l="1"/>
  <c r="D28" i="9"/>
  <c r="C6" i="10"/>
  <c r="F6" i="10" s="1"/>
  <c r="G6" i="10" s="1"/>
  <c r="D9" i="8"/>
  <c r="E9" i="8"/>
  <c r="N9" i="8"/>
  <c r="F9" i="8"/>
  <c r="C9" i="8"/>
  <c r="H9" i="8"/>
  <c r="B10" i="8"/>
  <c r="A10" i="8" s="1"/>
  <c r="D10" i="8" l="1"/>
  <c r="E10" i="8"/>
  <c r="C10" i="8"/>
  <c r="H10" i="8"/>
  <c r="N10" i="8"/>
  <c r="B11" i="8"/>
  <c r="A11" i="8" s="1"/>
  <c r="F10" i="8"/>
  <c r="D11" i="8" l="1"/>
  <c r="N11" i="8"/>
  <c r="F11" i="8"/>
  <c r="H11" i="8"/>
  <c r="E11" i="8"/>
  <c r="B12" i="8"/>
  <c r="A12" i="8" s="1"/>
  <c r="C11" i="8"/>
  <c r="C12" i="8" l="1"/>
  <c r="E12" i="8"/>
  <c r="B13" i="8"/>
  <c r="A13" i="8" s="1"/>
  <c r="D12" i="8"/>
  <c r="F12" i="8"/>
  <c r="H12" i="8"/>
  <c r="N12" i="8"/>
  <c r="E13" i="8" l="1"/>
  <c r="N13" i="8"/>
  <c r="D13" i="8"/>
  <c r="C13" i="8"/>
  <c r="F13" i="8"/>
  <c r="H13" i="8"/>
  <c r="B14" i="8"/>
  <c r="A14" i="8" s="1"/>
  <c r="D14" i="8" l="1"/>
  <c r="F14" i="8"/>
  <c r="E14" i="8"/>
  <c r="C14" i="8"/>
  <c r="H14" i="8"/>
  <c r="B15" i="8"/>
  <c r="A15" i="8" s="1"/>
  <c r="N14" i="8"/>
  <c r="D15" i="8" l="1"/>
  <c r="B16" i="8"/>
  <c r="A16" i="8" s="1"/>
  <c r="E15" i="8"/>
  <c r="H15" i="8"/>
  <c r="C15" i="8"/>
  <c r="F15" i="8"/>
  <c r="N15" i="8"/>
  <c r="F16" i="8" l="1"/>
  <c r="H16" i="8"/>
  <c r="L16" i="8"/>
  <c r="B17" i="8"/>
  <c r="A17" i="8" s="1"/>
  <c r="I16" i="8"/>
  <c r="C16" i="8"/>
  <c r="N16" i="8"/>
  <c r="E16" i="8"/>
  <c r="J16" i="8"/>
  <c r="K16" i="8"/>
  <c r="D16" i="8"/>
  <c r="S16" i="8" l="1"/>
  <c r="O16" i="8"/>
  <c r="R16" i="8"/>
  <c r="Q16" i="8"/>
  <c r="P16" i="8"/>
  <c r="C17" i="8"/>
  <c r="D17" i="8"/>
  <c r="F17" i="8"/>
  <c r="H17" i="8"/>
  <c r="I17" i="8"/>
  <c r="L17" i="8"/>
  <c r="B18" i="8"/>
  <c r="A18" i="8" s="1"/>
  <c r="E17" i="8"/>
  <c r="J17" i="8"/>
  <c r="K17" i="8"/>
  <c r="N17" i="8"/>
  <c r="S17" i="8" l="1"/>
  <c r="R17" i="8"/>
  <c r="O17" i="8"/>
  <c r="Q17" i="8"/>
  <c r="F18" i="8"/>
  <c r="H18" i="8"/>
  <c r="I18" i="8"/>
  <c r="E18" i="8"/>
  <c r="C18" i="8"/>
  <c r="D18" i="8"/>
  <c r="J18" i="8"/>
  <c r="K18" i="8"/>
  <c r="L18" i="8"/>
  <c r="N18" i="8"/>
  <c r="B19" i="8"/>
  <c r="A19" i="8" s="1"/>
  <c r="P17" i="8"/>
  <c r="S18" i="8" l="1"/>
  <c r="E19" i="8"/>
  <c r="K19" i="8"/>
  <c r="B20" i="8"/>
  <c r="A20" i="8" s="1"/>
  <c r="J19" i="8"/>
  <c r="N19" i="8"/>
  <c r="I19" i="8"/>
  <c r="C19" i="8"/>
  <c r="O19" i="8" s="1"/>
  <c r="D19" i="8"/>
  <c r="P19" i="8" s="1"/>
  <c r="F19" i="8"/>
  <c r="L19" i="8"/>
  <c r="H19" i="8"/>
  <c r="R18" i="8"/>
  <c r="O18" i="8"/>
  <c r="P18" i="8"/>
  <c r="Q18" i="8"/>
  <c r="S19" i="8" l="1"/>
  <c r="R19" i="8"/>
  <c r="Q19" i="8"/>
  <c r="F20" i="8"/>
  <c r="K20" i="8"/>
  <c r="L20" i="8"/>
  <c r="N20" i="8"/>
  <c r="E20" i="8"/>
  <c r="C20" i="8"/>
  <c r="D20" i="8"/>
  <c r="H20" i="8"/>
  <c r="I20" i="8"/>
  <c r="B21" i="8"/>
  <c r="A21" i="8" s="1"/>
  <c r="J20" i="8"/>
  <c r="S20" i="8" l="1"/>
  <c r="R20" i="8"/>
  <c r="O20" i="8"/>
  <c r="P20" i="8"/>
  <c r="I21" i="8"/>
  <c r="L21" i="8"/>
  <c r="N21" i="8"/>
  <c r="B22" i="8"/>
  <c r="A22" i="8" s="1"/>
  <c r="E21" i="8"/>
  <c r="J21" i="8"/>
  <c r="K21" i="8"/>
  <c r="C21" i="8"/>
  <c r="D21" i="8"/>
  <c r="F21" i="8"/>
  <c r="H21" i="8"/>
  <c r="Q20" i="8"/>
  <c r="S21" i="8" l="1"/>
  <c r="O21" i="8"/>
  <c r="R21" i="8"/>
  <c r="P21" i="8"/>
  <c r="Q21" i="8"/>
  <c r="F22" i="8"/>
  <c r="H22" i="8"/>
  <c r="K22" i="8"/>
  <c r="L22" i="8"/>
  <c r="N22" i="8"/>
  <c r="B23" i="8"/>
  <c r="A23" i="8" s="1"/>
  <c r="C22" i="8"/>
  <c r="D22" i="8"/>
  <c r="I22" i="8"/>
  <c r="E22" i="8"/>
  <c r="J22" i="8"/>
  <c r="S22" i="8" l="1"/>
  <c r="O22" i="8"/>
  <c r="P22" i="8"/>
  <c r="R22" i="8"/>
  <c r="Q22" i="8"/>
  <c r="I23" i="8"/>
  <c r="J23" i="8"/>
  <c r="C23" i="8"/>
  <c r="D23" i="8"/>
  <c r="F23" i="8"/>
  <c r="H23" i="8"/>
  <c r="K23" i="8"/>
  <c r="L23" i="8"/>
  <c r="N23" i="8"/>
  <c r="B24" i="8"/>
  <c r="A24" i="8" s="1"/>
  <c r="E23" i="8"/>
  <c r="S23" i="8" l="1"/>
  <c r="O23" i="8"/>
  <c r="P23" i="8"/>
  <c r="Q23" i="8"/>
  <c r="R23" i="8"/>
  <c r="E24" i="8"/>
  <c r="F24" i="8"/>
  <c r="K24" i="8"/>
  <c r="L24" i="8"/>
  <c r="C24" i="8"/>
  <c r="D24" i="8"/>
  <c r="H24" i="8"/>
  <c r="I24" i="8"/>
  <c r="N24" i="8"/>
  <c r="J24" i="8"/>
  <c r="B25" i="8"/>
  <c r="A25" i="8" s="1"/>
  <c r="S24" i="8" l="1"/>
  <c r="R24" i="8"/>
  <c r="O24" i="8"/>
  <c r="P24" i="8"/>
  <c r="Q24" i="8"/>
  <c r="E25" i="8"/>
  <c r="N25" i="8"/>
  <c r="J25" i="8"/>
  <c r="K25" i="8"/>
  <c r="I25" i="8"/>
  <c r="C25" i="8"/>
  <c r="O25" i="8" s="1"/>
  <c r="D25" i="8"/>
  <c r="F25" i="8"/>
  <c r="H25" i="8"/>
  <c r="L25" i="8"/>
  <c r="B26" i="8"/>
  <c r="A26" i="8" s="1"/>
  <c r="S25" i="8" l="1"/>
  <c r="P25" i="8"/>
  <c r="R25" i="8"/>
  <c r="H26" i="8"/>
  <c r="I26" i="8"/>
  <c r="J26" i="8"/>
  <c r="K26" i="8"/>
  <c r="L26" i="8"/>
  <c r="B27" i="8"/>
  <c r="A27" i="8" s="1"/>
  <c r="F26" i="8"/>
  <c r="R26" i="8" s="1"/>
  <c r="E26" i="8"/>
  <c r="C26" i="8"/>
  <c r="D26" i="8"/>
  <c r="N26" i="8"/>
  <c r="Q25" i="8"/>
  <c r="S26" i="8" l="1"/>
  <c r="O26" i="8"/>
  <c r="P26" i="8"/>
  <c r="Q26" i="8"/>
  <c r="J27" i="8"/>
  <c r="L27" i="8"/>
  <c r="N27" i="8"/>
  <c r="H27" i="8"/>
  <c r="K27" i="8"/>
  <c r="C27" i="8"/>
  <c r="D27" i="8"/>
  <c r="F27" i="8"/>
  <c r="I27" i="8"/>
  <c r="B28" i="8"/>
  <c r="A28" i="8" s="1"/>
  <c r="E27" i="8"/>
  <c r="S27" i="8" l="1"/>
  <c r="R27" i="8"/>
  <c r="Q27" i="8"/>
  <c r="O27" i="8"/>
  <c r="J28" i="8"/>
  <c r="K28" i="8"/>
  <c r="L28" i="8"/>
  <c r="E28" i="8"/>
  <c r="B29" i="8"/>
  <c r="A29" i="8" s="1"/>
  <c r="F28" i="8"/>
  <c r="H28" i="8"/>
  <c r="I28" i="8"/>
  <c r="C28" i="8"/>
  <c r="O28" i="8" s="1"/>
  <c r="D28" i="8"/>
  <c r="N28" i="8"/>
  <c r="P27" i="8"/>
  <c r="S28" i="8" l="1"/>
  <c r="P28" i="8"/>
  <c r="Q28" i="8"/>
  <c r="R28" i="8"/>
  <c r="E29" i="8"/>
  <c r="H29" i="8"/>
  <c r="J29" i="8"/>
  <c r="K29" i="8"/>
  <c r="L29" i="8"/>
  <c r="B30" i="8"/>
  <c r="A30" i="8" s="1"/>
  <c r="C29" i="8"/>
  <c r="D29" i="8"/>
  <c r="F29" i="8"/>
  <c r="I29" i="8"/>
  <c r="S29" i="8" s="1"/>
  <c r="N29" i="8"/>
  <c r="P29" i="8" l="1"/>
  <c r="R29" i="8"/>
  <c r="Q29" i="8"/>
  <c r="I30" i="8"/>
  <c r="C30" i="8"/>
  <c r="D30" i="8"/>
  <c r="H30" i="8"/>
  <c r="J30" i="8"/>
  <c r="K30" i="8"/>
  <c r="L30" i="8"/>
  <c r="B31" i="8"/>
  <c r="A31" i="8" s="1"/>
  <c r="F30" i="8"/>
  <c r="N30" i="8"/>
  <c r="E30" i="8"/>
  <c r="O29" i="8"/>
  <c r="S30" i="8" l="1"/>
  <c r="O30" i="8"/>
  <c r="Q30" i="8"/>
  <c r="P30" i="8"/>
  <c r="R30" i="8"/>
  <c r="K31" i="8"/>
  <c r="N31" i="8"/>
  <c r="H31" i="8"/>
  <c r="E31" i="8"/>
  <c r="C31" i="8"/>
  <c r="D31" i="8"/>
  <c r="F31" i="8"/>
  <c r="I31" i="8"/>
  <c r="L31" i="8"/>
  <c r="B32" i="8"/>
  <c r="A32" i="8" s="1"/>
  <c r="J31" i="8"/>
  <c r="S31" i="8" l="1"/>
  <c r="P31" i="8"/>
  <c r="Q31" i="8"/>
  <c r="O31" i="8"/>
  <c r="R31" i="8"/>
  <c r="B33" i="8"/>
  <c r="A33" i="8" s="1"/>
  <c r="E32" i="8"/>
  <c r="F32" i="8"/>
  <c r="L32" i="8"/>
  <c r="C32" i="8"/>
  <c r="D32" i="8"/>
  <c r="H32" i="8"/>
  <c r="I32" i="8"/>
  <c r="J32" i="8"/>
  <c r="K32" i="8"/>
  <c r="N32" i="8"/>
  <c r="S32" i="8" l="1"/>
  <c r="R32" i="8"/>
  <c r="P32" i="8"/>
  <c r="Q32" i="8"/>
  <c r="O32" i="8"/>
  <c r="H33" i="8"/>
  <c r="I33" i="8"/>
  <c r="J33" i="8"/>
  <c r="B34" i="8"/>
  <c r="A34" i="8" s="1"/>
  <c r="C33" i="8"/>
  <c r="O33" i="8" s="1"/>
  <c r="D33" i="8"/>
  <c r="F33" i="8"/>
  <c r="K33" i="8"/>
  <c r="L33" i="8"/>
  <c r="E33" i="8"/>
  <c r="N33" i="8"/>
  <c r="S33" i="8" l="1"/>
  <c r="Q33" i="8"/>
  <c r="P33" i="8"/>
  <c r="R33" i="8"/>
  <c r="C34" i="8"/>
  <c r="D34" i="8"/>
  <c r="I34" i="8"/>
  <c r="N34" i="8"/>
  <c r="H34" i="8"/>
  <c r="J34" i="8"/>
  <c r="K34" i="8"/>
  <c r="L34" i="8"/>
  <c r="E34" i="8"/>
  <c r="B35" i="8"/>
  <c r="A35" i="8" s="1"/>
  <c r="F34" i="8"/>
  <c r="S34" i="8" l="1"/>
  <c r="P34" i="8"/>
  <c r="O34" i="8"/>
  <c r="Q34" i="8"/>
  <c r="R34" i="8"/>
  <c r="E35" i="8"/>
  <c r="I35" i="8"/>
  <c r="J35" i="8"/>
  <c r="C35" i="8"/>
  <c r="O35" i="8" s="1"/>
  <c r="D35" i="8"/>
  <c r="F35" i="8"/>
  <c r="H35" i="8"/>
  <c r="K35" i="8"/>
  <c r="L35" i="8"/>
  <c r="B36" i="8"/>
  <c r="A36" i="8" s="1"/>
  <c r="N35" i="8"/>
  <c r="S35" i="8" l="1"/>
  <c r="P35" i="8"/>
  <c r="Q35" i="8"/>
  <c r="R35" i="8"/>
  <c r="J36" i="8"/>
  <c r="K36" i="8"/>
  <c r="B37" i="8"/>
  <c r="A37" i="8" s="1"/>
  <c r="N36" i="8"/>
  <c r="F36" i="8"/>
  <c r="H36" i="8"/>
  <c r="E36" i="8"/>
  <c r="C36" i="8"/>
  <c r="D36" i="8"/>
  <c r="I36" i="8"/>
  <c r="L36" i="8"/>
  <c r="S36" i="8" l="1"/>
  <c r="O36" i="8"/>
  <c r="R36" i="8"/>
  <c r="Q36" i="8"/>
  <c r="P36" i="8"/>
  <c r="B38" i="8"/>
  <c r="A38" i="8" s="1"/>
  <c r="J37" i="8"/>
  <c r="I37" i="8"/>
  <c r="C37" i="8"/>
  <c r="D37" i="8"/>
  <c r="F37" i="8"/>
  <c r="H37" i="8"/>
  <c r="K37" i="8"/>
  <c r="N37" i="8"/>
  <c r="E37" i="8"/>
  <c r="L37" i="8"/>
  <c r="S37" i="8" l="1"/>
  <c r="O37" i="8"/>
  <c r="P37" i="8"/>
  <c r="Q37" i="8"/>
  <c r="R37" i="8"/>
  <c r="E38" i="8"/>
  <c r="F38" i="8"/>
  <c r="H38" i="8"/>
  <c r="K38" i="8"/>
  <c r="L38" i="8"/>
  <c r="B39" i="8"/>
  <c r="A39" i="8" s="1"/>
  <c r="C38" i="8"/>
  <c r="D38" i="8"/>
  <c r="I38" i="8"/>
  <c r="J38" i="8"/>
  <c r="N38" i="8"/>
  <c r="S38" i="8" l="1"/>
  <c r="P38" i="8"/>
  <c r="R38" i="8"/>
  <c r="O38" i="8"/>
  <c r="Q38" i="8"/>
  <c r="I39" i="8"/>
  <c r="C39" i="8"/>
  <c r="D39" i="8"/>
  <c r="F39" i="8"/>
  <c r="H39" i="8"/>
  <c r="K39" i="8"/>
  <c r="N39" i="8"/>
  <c r="B40" i="8"/>
  <c r="A40" i="8" s="1"/>
  <c r="J39" i="8"/>
  <c r="L39" i="8"/>
  <c r="E39" i="8"/>
  <c r="S39" i="8" l="1"/>
  <c r="O39" i="8"/>
  <c r="R39" i="8"/>
  <c r="P39" i="8"/>
  <c r="Q39" i="8"/>
  <c r="E40" i="8"/>
  <c r="H40" i="8"/>
  <c r="F40" i="8"/>
  <c r="C40" i="8"/>
  <c r="D40" i="8"/>
  <c r="I40" i="8"/>
  <c r="K40" i="8"/>
  <c r="L40" i="8"/>
  <c r="J40" i="8"/>
  <c r="N40" i="8"/>
  <c r="B41" i="8"/>
  <c r="A41" i="8" s="1"/>
  <c r="S40" i="8" l="1"/>
  <c r="R40" i="8"/>
  <c r="Q40" i="8"/>
  <c r="O40" i="8"/>
  <c r="P40" i="8"/>
  <c r="B42" i="8"/>
  <c r="A42" i="8" s="1"/>
  <c r="H41" i="8"/>
  <c r="C41" i="8"/>
  <c r="D41" i="8"/>
  <c r="F41" i="8"/>
  <c r="I41" i="8"/>
  <c r="N41" i="8"/>
  <c r="E41" i="8"/>
  <c r="J41" i="8"/>
  <c r="K41" i="8"/>
  <c r="L41" i="8"/>
  <c r="S41" i="8" l="1"/>
  <c r="Q41" i="8"/>
  <c r="R41" i="8"/>
  <c r="O41" i="8"/>
  <c r="P41" i="8"/>
  <c r="H42" i="8"/>
  <c r="J42" i="8"/>
  <c r="K42" i="8"/>
  <c r="F42" i="8"/>
  <c r="I42" i="8"/>
  <c r="B43" i="8"/>
  <c r="A43" i="8" s="1"/>
  <c r="E42" i="8"/>
  <c r="C42" i="8"/>
  <c r="D42" i="8"/>
  <c r="L42" i="8"/>
  <c r="N42" i="8"/>
  <c r="S42" i="8" l="1"/>
  <c r="O42" i="8"/>
  <c r="P42" i="8"/>
  <c r="R42" i="8"/>
  <c r="Q42" i="8"/>
  <c r="C43" i="8"/>
  <c r="D43" i="8"/>
  <c r="I43" i="8"/>
  <c r="K43" i="8"/>
  <c r="J43" i="8"/>
  <c r="N43" i="8"/>
  <c r="E43" i="8"/>
  <c r="B44" i="8"/>
  <c r="A44" i="8" s="1"/>
  <c r="F43" i="8"/>
  <c r="H43" i="8"/>
  <c r="L43" i="8"/>
  <c r="S43" i="8" l="1"/>
  <c r="R43" i="8"/>
  <c r="Q43" i="8"/>
  <c r="O43" i="8"/>
  <c r="P43" i="8"/>
  <c r="E44" i="8"/>
  <c r="J44" i="8"/>
  <c r="I44" i="8"/>
  <c r="C44" i="8"/>
  <c r="O44" i="8" s="1"/>
  <c r="D44" i="8"/>
  <c r="H44" i="8"/>
  <c r="L44" i="8"/>
  <c r="N44" i="8"/>
  <c r="B45" i="8"/>
  <c r="A45" i="8" s="1"/>
  <c r="K44" i="8"/>
  <c r="F44" i="8"/>
  <c r="S44" i="8" l="1"/>
  <c r="Q44" i="8"/>
  <c r="R44" i="8"/>
  <c r="P44" i="8"/>
  <c r="I45" i="8"/>
  <c r="J45" i="8"/>
  <c r="L45" i="8"/>
  <c r="B46" i="8"/>
  <c r="A46" i="8" s="1"/>
  <c r="H45" i="8"/>
  <c r="E45" i="8"/>
  <c r="F45" i="8"/>
  <c r="C45" i="8"/>
  <c r="D45" i="8"/>
  <c r="K45" i="8"/>
  <c r="N45" i="8"/>
  <c r="S45" i="8" l="1"/>
  <c r="R45" i="8"/>
  <c r="P45" i="8"/>
  <c r="O45" i="8"/>
  <c r="Q45" i="8"/>
  <c r="E46" i="8"/>
  <c r="N46" i="8"/>
  <c r="I46" i="8"/>
  <c r="B47" i="8"/>
  <c r="A47" i="8" s="1"/>
  <c r="C46" i="8"/>
  <c r="D46" i="8"/>
  <c r="H46" i="8"/>
  <c r="F46" i="8"/>
  <c r="J46" i="8"/>
  <c r="K46" i="8"/>
  <c r="L46" i="8"/>
  <c r="S46" i="8" l="1"/>
  <c r="P46" i="8"/>
  <c r="O46" i="8"/>
  <c r="Q46" i="8"/>
  <c r="R46" i="8"/>
  <c r="K47" i="8"/>
  <c r="C47" i="8"/>
  <c r="D47" i="8"/>
  <c r="F47" i="8"/>
  <c r="I47" i="8"/>
  <c r="N47" i="8"/>
  <c r="E47" i="8"/>
  <c r="B48" i="8"/>
  <c r="A48" i="8" s="1"/>
  <c r="J47" i="8"/>
  <c r="L47" i="8"/>
  <c r="H47" i="8"/>
  <c r="S47" i="8" l="1"/>
  <c r="Q47" i="8"/>
  <c r="R47" i="8"/>
  <c r="O47" i="8"/>
  <c r="P47" i="8"/>
  <c r="E48" i="8"/>
  <c r="F48" i="8"/>
  <c r="H48" i="8"/>
  <c r="I48" i="8"/>
  <c r="C48" i="8"/>
  <c r="D48" i="8"/>
  <c r="L48" i="8"/>
  <c r="B49" i="8"/>
  <c r="A49" i="8" s="1"/>
  <c r="J48" i="8"/>
  <c r="K48" i="8"/>
  <c r="N48" i="8"/>
  <c r="S48" i="8" l="1"/>
  <c r="O48" i="8"/>
  <c r="Q48" i="8"/>
  <c r="R48" i="8"/>
  <c r="P48" i="8"/>
  <c r="I49" i="8"/>
  <c r="J49" i="8"/>
  <c r="B50" i="8"/>
  <c r="A50" i="8" s="1"/>
  <c r="H49" i="8"/>
  <c r="L49" i="8"/>
  <c r="K49" i="8"/>
  <c r="E49" i="8"/>
  <c r="C49" i="8"/>
  <c r="D49" i="8"/>
  <c r="F49" i="8"/>
  <c r="N49" i="8"/>
  <c r="S49" i="8" l="1"/>
  <c r="Q49" i="8"/>
  <c r="P49" i="8"/>
  <c r="R49" i="8"/>
  <c r="O49" i="8"/>
  <c r="J50" i="8"/>
  <c r="E50" i="8"/>
  <c r="C50" i="8"/>
  <c r="D50" i="8"/>
  <c r="H50" i="8"/>
  <c r="I50" i="8"/>
  <c r="L50" i="8"/>
  <c r="K50" i="8"/>
  <c r="N50" i="8"/>
  <c r="B51" i="8"/>
  <c r="A51" i="8" s="1"/>
  <c r="F50" i="8"/>
  <c r="S50" i="8" l="1"/>
  <c r="P50" i="8"/>
  <c r="R50" i="8"/>
  <c r="J51" i="8"/>
  <c r="F51" i="8"/>
  <c r="L51" i="8"/>
  <c r="I51" i="8"/>
  <c r="C51" i="8"/>
  <c r="D51" i="8"/>
  <c r="H51" i="8"/>
  <c r="K51" i="8"/>
  <c r="N51" i="8"/>
  <c r="B52" i="8"/>
  <c r="A52" i="8" s="1"/>
  <c r="E51" i="8"/>
  <c r="Q50" i="8"/>
  <c r="O50" i="8"/>
  <c r="S51" i="8" l="1"/>
  <c r="O51" i="8"/>
  <c r="R51" i="8"/>
  <c r="P51" i="8"/>
  <c r="Q51" i="8"/>
  <c r="K52" i="8"/>
  <c r="E52" i="8"/>
  <c r="B53" i="8"/>
  <c r="A53" i="8" s="1"/>
  <c r="H52" i="8"/>
  <c r="J52" i="8"/>
  <c r="N52" i="8"/>
  <c r="I52" i="8"/>
  <c r="C52" i="8"/>
  <c r="D52" i="8"/>
  <c r="F52" i="8"/>
  <c r="L52" i="8"/>
  <c r="S52" i="8" l="1"/>
  <c r="O52" i="8"/>
  <c r="P52" i="8"/>
  <c r="R52" i="8"/>
  <c r="E53" i="8"/>
  <c r="F53" i="8"/>
  <c r="L53" i="8"/>
  <c r="J53" i="8"/>
  <c r="C53" i="8"/>
  <c r="D53" i="8"/>
  <c r="H53" i="8"/>
  <c r="K53" i="8"/>
  <c r="I53" i="8"/>
  <c r="N53" i="8"/>
  <c r="B54" i="8"/>
  <c r="A54" i="8" s="1"/>
  <c r="Q52" i="8"/>
  <c r="S53" i="8" l="1"/>
  <c r="O53" i="8"/>
  <c r="P53" i="8"/>
  <c r="H54" i="8"/>
  <c r="J54" i="8"/>
  <c r="K54" i="8"/>
  <c r="N54" i="8"/>
  <c r="B55" i="8"/>
  <c r="A55" i="8" s="1"/>
  <c r="E54" i="8"/>
  <c r="Q54" i="8" s="1"/>
  <c r="C54" i="8"/>
  <c r="D54" i="8"/>
  <c r="P54" i="8" s="1"/>
  <c r="I54" i="8"/>
  <c r="L54" i="8"/>
  <c r="F54" i="8"/>
  <c r="R54" i="8" s="1"/>
  <c r="Q53" i="8"/>
  <c r="R53" i="8"/>
  <c r="S54" i="8" l="1"/>
  <c r="I55" i="8"/>
  <c r="C55" i="8"/>
  <c r="D55" i="8"/>
  <c r="F55" i="8"/>
  <c r="H55" i="8"/>
  <c r="N55" i="8"/>
  <c r="E55" i="8"/>
  <c r="K55" i="8"/>
  <c r="L55" i="8"/>
  <c r="B56" i="8"/>
  <c r="A56" i="8" s="1"/>
  <c r="J55" i="8"/>
  <c r="O54" i="8"/>
  <c r="S55" i="8" l="1"/>
  <c r="O55" i="8"/>
  <c r="P55" i="8"/>
  <c r="Q55" i="8"/>
  <c r="L56" i="8"/>
  <c r="F56" i="8"/>
  <c r="J56" i="8"/>
  <c r="E56" i="8"/>
  <c r="C56" i="8"/>
  <c r="D56" i="8"/>
  <c r="P56" i="8" s="1"/>
  <c r="H56" i="8"/>
  <c r="B57" i="8"/>
  <c r="A57" i="8" s="1"/>
  <c r="I56" i="8"/>
  <c r="K56" i="8"/>
  <c r="N56" i="8"/>
  <c r="R55" i="8"/>
  <c r="S56" i="8" l="1"/>
  <c r="R56" i="8"/>
  <c r="Q56" i="8"/>
  <c r="O56" i="8"/>
  <c r="E57" i="8"/>
  <c r="B58" i="8"/>
  <c r="A58" i="8" s="1"/>
  <c r="H57" i="8"/>
  <c r="K57" i="8"/>
  <c r="L57" i="8"/>
  <c r="J57" i="8"/>
  <c r="C57" i="8"/>
  <c r="D57" i="8"/>
  <c r="F57" i="8"/>
  <c r="I57" i="8"/>
  <c r="N57" i="8"/>
  <c r="S57" i="8" l="1"/>
  <c r="Q57" i="8"/>
  <c r="O57" i="8"/>
  <c r="P57" i="8"/>
  <c r="R57" i="8"/>
  <c r="E58" i="8"/>
  <c r="H58" i="8"/>
  <c r="J58" i="8"/>
  <c r="L58" i="8"/>
  <c r="B59" i="8"/>
  <c r="A59" i="8" s="1"/>
  <c r="I58" i="8"/>
  <c r="C58" i="8"/>
  <c r="D58" i="8"/>
  <c r="N58" i="8"/>
  <c r="F58" i="8"/>
  <c r="K58" i="8"/>
  <c r="S58" i="8" l="1"/>
  <c r="O58" i="8"/>
  <c r="P58" i="8"/>
  <c r="Q58" i="8"/>
  <c r="R58" i="8"/>
  <c r="C59" i="8"/>
  <c r="D59" i="8"/>
  <c r="F59" i="8"/>
  <c r="L59" i="8"/>
  <c r="N59" i="8"/>
  <c r="J59" i="8"/>
  <c r="K59" i="8"/>
  <c r="B60" i="8"/>
  <c r="A60" i="8" s="1"/>
  <c r="H59" i="8"/>
  <c r="I59" i="8"/>
  <c r="E59" i="8"/>
  <c r="S59" i="8" l="1"/>
  <c r="R59" i="8"/>
  <c r="P59" i="8"/>
  <c r="Q59" i="8"/>
  <c r="J60" i="8"/>
  <c r="F60" i="8"/>
  <c r="C60" i="8"/>
  <c r="D60" i="8"/>
  <c r="H60" i="8"/>
  <c r="I60" i="8"/>
  <c r="N60" i="8"/>
  <c r="E60" i="8"/>
  <c r="K60" i="8"/>
  <c r="L60" i="8"/>
  <c r="B61" i="8"/>
  <c r="A61" i="8" s="1"/>
  <c r="O59" i="8"/>
  <c r="S60" i="8" l="1"/>
  <c r="O60" i="8"/>
  <c r="P60" i="8"/>
  <c r="R60" i="8"/>
  <c r="Q60" i="8"/>
  <c r="J61" i="8"/>
  <c r="B62" i="8"/>
  <c r="A62" i="8" s="1"/>
  <c r="E61" i="8"/>
  <c r="F61" i="8"/>
  <c r="H61" i="8"/>
  <c r="L61" i="8"/>
  <c r="C61" i="8"/>
  <c r="D61" i="8"/>
  <c r="I61" i="8"/>
  <c r="K61" i="8"/>
  <c r="N61" i="8"/>
  <c r="S61" i="8" l="1"/>
  <c r="P61" i="8"/>
  <c r="R61" i="8"/>
  <c r="Q61" i="8"/>
  <c r="O61" i="8"/>
  <c r="J62" i="8"/>
  <c r="L62" i="8"/>
  <c r="B63" i="8"/>
  <c r="A63" i="8" s="1"/>
  <c r="C62" i="8"/>
  <c r="D62" i="8"/>
  <c r="P62" i="8" s="1"/>
  <c r="F62" i="8"/>
  <c r="H62" i="8"/>
  <c r="I62" i="8"/>
  <c r="K62" i="8"/>
  <c r="N62" i="8"/>
  <c r="E62" i="8"/>
  <c r="S62" i="8" l="1"/>
  <c r="Q62" i="8"/>
  <c r="R62" i="8"/>
  <c r="W5" i="8"/>
  <c r="X5" i="8"/>
  <c r="Y7" i="8"/>
  <c r="Y5" i="8"/>
  <c r="Y6" i="8"/>
  <c r="Z7" i="8"/>
  <c r="Z5" i="8"/>
  <c r="V7" i="8"/>
  <c r="V5" i="8"/>
  <c r="W6" i="8"/>
  <c r="X7" i="8"/>
  <c r="X6" i="8"/>
  <c r="Z6" i="8"/>
  <c r="V6" i="8"/>
  <c r="W7" i="8"/>
  <c r="I15" i="8"/>
  <c r="J15" i="8"/>
  <c r="P15" i="8" s="1"/>
  <c r="L15" i="8"/>
  <c r="R15" i="8" s="1"/>
  <c r="K14" i="8"/>
  <c r="Q14" i="8" s="1"/>
  <c r="I14" i="8"/>
  <c r="K15" i="8"/>
  <c r="Q15" i="8" s="1"/>
  <c r="J14" i="8"/>
  <c r="P14" i="8" s="1"/>
  <c r="J13" i="8"/>
  <c r="P13" i="8" s="1"/>
  <c r="L13" i="8"/>
  <c r="R13" i="8" s="1"/>
  <c r="I13" i="8"/>
  <c r="K13" i="8"/>
  <c r="Q13" i="8" s="1"/>
  <c r="L14" i="8"/>
  <c r="R14" i="8" s="1"/>
  <c r="L12" i="8"/>
  <c r="R12" i="8" s="1"/>
  <c r="K12" i="8"/>
  <c r="Q12" i="8" s="1"/>
  <c r="J12" i="8"/>
  <c r="P12" i="8" s="1"/>
  <c r="I12" i="8"/>
  <c r="K11" i="8"/>
  <c r="Q11" i="8" s="1"/>
  <c r="J11" i="8"/>
  <c r="P11" i="8" s="1"/>
  <c r="I11" i="8"/>
  <c r="L10" i="8"/>
  <c r="R10" i="8" s="1"/>
  <c r="K10" i="8"/>
  <c r="Q10" i="8" s="1"/>
  <c r="L11" i="8"/>
  <c r="R11" i="8" s="1"/>
  <c r="I10" i="8"/>
  <c r="J10" i="8"/>
  <c r="P10" i="8" s="1"/>
  <c r="K9" i="8"/>
  <c r="Q9" i="8" s="1"/>
  <c r="I9" i="8"/>
  <c r="L7" i="8"/>
  <c r="R7" i="8" s="1"/>
  <c r="J8" i="8"/>
  <c r="P8" i="8" s="1"/>
  <c r="J9" i="8"/>
  <c r="P9" i="8" s="1"/>
  <c r="L9" i="8"/>
  <c r="R9" i="8" s="1"/>
  <c r="K8" i="8"/>
  <c r="Q8" i="8" s="1"/>
  <c r="I8" i="8"/>
  <c r="L8" i="8"/>
  <c r="R8" i="8" s="1"/>
  <c r="K7" i="8"/>
  <c r="Q7" i="8" s="1"/>
  <c r="K6" i="8"/>
  <c r="Q6" i="8" s="1"/>
  <c r="I7" i="8"/>
  <c r="J7" i="8"/>
  <c r="P7" i="8" s="1"/>
  <c r="J6" i="8"/>
  <c r="P6" i="8" s="1"/>
  <c r="L6" i="8"/>
  <c r="R6" i="8" s="1"/>
  <c r="I6" i="8"/>
  <c r="L4" i="8"/>
  <c r="R4" i="8" s="1"/>
  <c r="K4" i="8"/>
  <c r="Q4" i="8" s="1"/>
  <c r="L5" i="8"/>
  <c r="R5" i="8" s="1"/>
  <c r="J4" i="8"/>
  <c r="P4" i="8" s="1"/>
  <c r="I5" i="8"/>
  <c r="J5" i="8"/>
  <c r="P5" i="8" s="1"/>
  <c r="K5" i="8"/>
  <c r="Q5" i="8" s="1"/>
  <c r="I4" i="8"/>
  <c r="J63" i="8"/>
  <c r="C63" i="8"/>
  <c r="D63" i="8"/>
  <c r="W8" i="8" s="1"/>
  <c r="H63" i="8"/>
  <c r="I63" i="8"/>
  <c r="L63" i="8"/>
  <c r="F63" i="8"/>
  <c r="C9" i="10" s="1"/>
  <c r="F9" i="10" s="1"/>
  <c r="G9" i="10" s="1"/>
  <c r="G1" i="10" s="1"/>
  <c r="E63" i="8"/>
  <c r="N63" i="8"/>
  <c r="K63" i="8"/>
  <c r="O62" i="8"/>
  <c r="S63" i="8" l="1"/>
  <c r="O15" i="8"/>
  <c r="S15" i="8"/>
  <c r="O14" i="8"/>
  <c r="S14" i="8"/>
  <c r="O13" i="8"/>
  <c r="S13" i="8"/>
  <c r="O12" i="8"/>
  <c r="S12" i="8"/>
  <c r="O11" i="8"/>
  <c r="S11" i="8"/>
  <c r="O10" i="8"/>
  <c r="S10" i="8"/>
  <c r="O9" i="8"/>
  <c r="S9" i="8"/>
  <c r="O8" i="8"/>
  <c r="S8" i="8"/>
  <c r="O7" i="8"/>
  <c r="S7" i="8"/>
  <c r="O6" i="8"/>
  <c r="S6" i="8"/>
  <c r="O5" i="8"/>
  <c r="S5" i="8"/>
  <c r="O4" i="8"/>
  <c r="S4" i="8"/>
  <c r="X8" i="8"/>
  <c r="V8" i="8"/>
  <c r="Z8" i="8"/>
  <c r="W4" i="8"/>
  <c r="Z4" i="8"/>
  <c r="V4" i="8"/>
  <c r="R63" i="8"/>
  <c r="Y8" i="8"/>
  <c r="Y4" i="8"/>
  <c r="Q63" i="8"/>
  <c r="X4" i="8"/>
  <c r="O63" i="8"/>
  <c r="P63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<sst xmlns="http://schemas.openxmlformats.org/spreadsheetml/2006/main" count="1394" uniqueCount="203">
  <si>
    <t>rep_id</t>
  </si>
  <si>
    <t>region_id</t>
  </si>
  <si>
    <t>net_sales</t>
  </si>
  <si>
    <t>month_start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</si>
  <si>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</si>
  <si>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</si>
  <si>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</si>
  <si>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</si>
  <si>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</si>
  <si>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</si>
  <si>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</si>
  <si>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</si>
  <si>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</si>
  <si>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</si>
  <si>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</si>
  <si>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</si>
  <si>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</si>
  <si>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</si>
  <si>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</si>
  <si>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</si>
  <si>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</si>
  <si>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</si>
  <si>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</si>
  <si>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</si>
  <si>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</si>
  <si>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</si>
  <si>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</si>
  <si>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</si>
  <si>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</si>
  <si>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</si>
  <si>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</si>
  <si>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</si>
  <si>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</si>
  <si>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</si>
  <si>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</si>
  <si>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</si>
  <si>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</si>
  <si>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</si>
  <si>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</si>
  <si>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</si>
  <si>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</si>
  <si>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</si>
  <si>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</si>
  <si>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</si>
  <si>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</si>
  <si>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</si>
  <si>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</si>
  <si>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</si>
  <si>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</si>
  <si>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</si>
  <si>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</si>
  <si>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</si>
  <si>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</si>
  <si>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Rule Spec, Item #3</t>
  </si>
  <si>
    <t>Max Commission Rate:</t>
  </si>
  <si>
    <t>Warning Line:</t>
  </si>
  <si>
    <t>Rule Spec, Item #4</t>
  </si>
  <si>
    <t>Rule Spec, Item #6</t>
  </si>
  <si>
    <t>Year 1 quota seed by region</t>
  </si>
  <si>
    <t>rate</t>
  </si>
  <si>
    <t>margin_dollars</t>
  </si>
  <si>
    <t>flat_commission</t>
  </si>
  <si>
    <t>marginal_commission</t>
  </si>
  <si>
    <t>overpay</t>
  </si>
  <si>
    <t>year</t>
  </si>
  <si>
    <t>Region</t>
  </si>
  <si>
    <t>Year</t>
  </si>
  <si>
    <t xml:space="preserve">Net Sales </t>
  </si>
  <si>
    <t>Margin Dollars</t>
  </si>
  <si>
    <t>Overpay</t>
  </si>
  <si>
    <t>Overpay by region</t>
  </si>
  <si>
    <t>Total overpay</t>
  </si>
  <si>
    <t>margin dollars by region</t>
  </si>
  <si>
    <t>Flat commission</t>
  </si>
  <si>
    <t>Flat commission by region</t>
  </si>
  <si>
    <t>Blended Payout Rate (flat commission/margin dollars)</t>
  </si>
  <si>
    <t>regional blended payout rate</t>
  </si>
  <si>
    <t>Company</t>
  </si>
  <si>
    <t>Overpay by rep month by region and year</t>
  </si>
  <si>
    <t>Tier_table</t>
  </si>
  <si>
    <t>Margin_rate</t>
  </si>
  <si>
    <t>Within reach</t>
  </si>
  <si>
    <t>of the band edge</t>
  </si>
  <si>
    <t>Edge</t>
  </si>
  <si>
    <t>Within reach (count)</t>
  </si>
  <si>
    <t>Just over (count)</t>
  </si>
  <si>
    <t>Cliff bump ($)</t>
  </si>
  <si>
    <t>Just over cost</t>
  </si>
  <si>
    <t>Zone below start</t>
  </si>
  <si>
    <t>Zone above end</t>
  </si>
  <si>
    <t>Month</t>
  </si>
  <si>
    <t>Regions</t>
  </si>
  <si>
    <t>Net Sales by Region Month</t>
  </si>
  <si>
    <t>Quota by Region Month</t>
  </si>
  <si>
    <t>Attainment by Region Month</t>
  </si>
  <si>
    <t>Attainment by Region Year</t>
  </si>
  <si>
    <t>index_factor</t>
  </si>
  <si>
    <t>indexed_rate</t>
  </si>
  <si>
    <t>indexed_commission</t>
  </si>
  <si>
    <t>Total commission by year and plan</t>
  </si>
  <si>
    <t>Margin dollars</t>
  </si>
  <si>
    <t>Current flat</t>
  </si>
  <si>
    <t>Marginal</t>
  </si>
  <si>
    <t>Total</t>
  </si>
  <si>
    <t>Blended flat</t>
  </si>
  <si>
    <t>Savings over flat</t>
  </si>
  <si>
    <t>Indexed_flat</t>
  </si>
  <si>
    <t>Company payout plan rates (rate/margin dollars)</t>
  </si>
  <si>
    <t>Indexed</t>
  </si>
  <si>
    <t>Indexed % of flat</t>
  </si>
  <si>
    <t>Marginal % of flat</t>
  </si>
  <si>
    <t>Calculation verifications</t>
  </si>
  <si>
    <t>Check</t>
  </si>
  <si>
    <t>Net sales total</t>
  </si>
  <si>
    <t>Row count</t>
  </si>
  <si>
    <t>Overpay total</t>
  </si>
  <si>
    <t>Marginal total</t>
  </si>
  <si>
    <t>Source location (A)</t>
  </si>
  <si>
    <t>Source location (B)</t>
  </si>
  <si>
    <t>Source calculation (B)</t>
  </si>
  <si>
    <t>Source calculation (A)</t>
  </si>
  <si>
    <t>tbl_rep_mon[net_sales]</t>
  </si>
  <si>
    <t>tbl_rep_mon[region_id]</t>
  </si>
  <si>
    <t>tbl_rep_mon[overpay]</t>
  </si>
  <si>
    <t>Difference</t>
  </si>
  <si>
    <t>(tbl_rep_mon[net_sales])*margin_rate</t>
  </si>
  <si>
    <t>Scenarios!B3:B7</t>
  </si>
  <si>
    <t>Scenarios!E3:E7</t>
  </si>
  <si>
    <t>Validation</t>
  </si>
  <si>
    <t>03_rep_month_derivation.sql</t>
  </si>
  <si>
    <t>SQL Validation (sum of each yearly total)</t>
  </si>
  <si>
    <t>Tier_floor</t>
  </si>
  <si>
    <t>Tier_rate</t>
  </si>
  <si>
    <t>Rate_step</t>
  </si>
  <si>
    <t>Growth_target</t>
  </si>
  <si>
    <t>Total just over sum</t>
  </si>
  <si>
    <t>ALL CHECKS (PASS or CHECK)</t>
  </si>
  <si>
    <t>Business Question</t>
  </si>
  <si>
    <t>Tabs</t>
  </si>
  <si>
    <t>Coloration</t>
  </si>
  <si>
    <t xml:space="preserve">Assumptions: </t>
  </si>
  <si>
    <t>Listing of all standards for each formula. Each number is tagged back</t>
  </si>
  <si>
    <t>Rep_month:</t>
  </si>
  <si>
    <t>Table with rep, region, date, pay information</t>
  </si>
  <si>
    <t xml:space="preserve">Sales and margins: </t>
  </si>
  <si>
    <t>Commissions:</t>
  </si>
  <si>
    <t>Table of net sales by region by year</t>
  </si>
  <si>
    <t>Table of margin dollars by region and by year</t>
  </si>
  <si>
    <t>Table of flat commission rates/margin dollars by region and by year</t>
  </si>
  <si>
    <t>Overpay:</t>
  </si>
  <si>
    <t>Table of overpay by region and by year</t>
  </si>
  <si>
    <t>Quota:</t>
  </si>
  <si>
    <t>Table of Net sales by region by month and year</t>
  </si>
  <si>
    <t>Table of quota attainment by region by month and year</t>
  </si>
  <si>
    <t>Table for quota by region by month and year</t>
  </si>
  <si>
    <t>Cliff exposure:</t>
  </si>
  <si>
    <t>Scenarios:</t>
  </si>
  <si>
    <t>Table comparing blended flat / indexed_flat / marginal rates</t>
  </si>
  <si>
    <t>divided by margin dollars</t>
  </si>
  <si>
    <t xml:space="preserve">Table showing company savings comparing blended flat to </t>
  </si>
  <si>
    <t>indexed_flat / marginal</t>
  </si>
  <si>
    <t>Checks:</t>
  </si>
  <si>
    <t>Validation of calculations</t>
  </si>
  <si>
    <r>
      <rPr>
        <sz val="11"/>
        <color theme="7" tint="-0.249977111117893"/>
        <rFont val="Aptos Narrow"/>
        <family val="2"/>
        <scheme val="minor"/>
      </rPr>
      <t>Hard-coded</t>
    </r>
    <r>
      <rPr>
        <sz val="11"/>
        <color theme="4" tint="0.39997558519241921"/>
        <rFont val="Aptos Narrow"/>
        <family val="2"/>
        <scheme val="minor"/>
      </rPr>
      <t xml:space="preserve"> </t>
    </r>
    <r>
      <rPr>
        <sz val="11"/>
        <color theme="7" tint="-0.249977111117893"/>
        <rFont val="Aptos Narrow"/>
        <family val="2"/>
        <scheme val="minor"/>
      </rPr>
      <t>numbering</t>
    </r>
  </si>
  <si>
    <t>Overpay share approximation</t>
  </si>
  <si>
    <t>Quota grid total</t>
  </si>
  <si>
    <t>Quota!C4:F63</t>
  </si>
  <si>
    <t>No blank Calculations</t>
  </si>
  <si>
    <t>tbl_rep_mon[rep_id]</t>
  </si>
  <si>
    <t>Does the flat-tier commission structure overpay, and if so, where and by how much?</t>
  </si>
  <si>
    <t xml:space="preserve">Data </t>
  </si>
  <si>
    <t xml:space="preserve">All data is synthetic and created for the purpose of gaining practice with various advanced </t>
  </si>
  <si>
    <t xml:space="preserve">excel functions. </t>
  </si>
  <si>
    <t xml:space="preserve">Data generated with AI assistance; </t>
  </si>
  <si>
    <t>rep_month data comes from SQL extract ('rep_month.csv')</t>
  </si>
  <si>
    <t>Numbering</t>
  </si>
  <si>
    <t>calculated  numbering</t>
  </si>
  <si>
    <t>Overpay!H4:H7</t>
  </si>
  <si>
    <t>net sales by region</t>
  </si>
  <si>
    <t>to a Rule in the rules_spec.md</t>
  </si>
  <si>
    <t>Table of flat commission dollars by region and by year</t>
  </si>
  <si>
    <t>Table showing the number of rep-months within 5% of each tier</t>
  </si>
  <si>
    <t>and the cost exposure</t>
  </si>
  <si>
    <t xml:space="preserve">The flat commission structure paid about $5.5 million more than a marginal </t>
  </si>
  <si>
    <t xml:space="preserve">structure would have over 2021 to 2025. The annual overpay grew from about </t>
  </si>
  <si>
    <t>grew only 62% and quota attainment stayed steady near 100%.</t>
  </si>
  <si>
    <t>Findings</t>
  </si>
  <si>
    <t>Warning line</t>
  </si>
  <si>
    <t>Overpay flat</t>
  </si>
  <si>
    <t>Flat commissions</t>
  </si>
  <si>
    <t>Indexed tiers</t>
  </si>
  <si>
    <t>(Commissions!H4:H7)-Overpay!J4</t>
  </si>
  <si>
    <t>Charts:</t>
  </si>
  <si>
    <t>Quota model - README</t>
  </si>
  <si>
    <t>Table of overpay per rep month by region and year</t>
  </si>
  <si>
    <t>Visualization of Overpay dollars per year</t>
  </si>
  <si>
    <t>Visualization of payout rate comparison between plans</t>
  </si>
  <si>
    <t>Visualization of commission growth vs margin dollar growth</t>
  </si>
  <si>
    <t>Table of margin dollars and a comparison of commission plan</t>
  </si>
  <si>
    <t>payouts over the years</t>
  </si>
  <si>
    <t xml:space="preserve">$0.64 million in the first year to $1.57 million in the last, and it grew every year. </t>
  </si>
  <si>
    <t xml:space="preserve">Over the same period (2021-2025) commissions more than doubled, while margin dollars </t>
  </si>
  <si>
    <t xml:space="preserve">Flat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</si>
</sst>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0.0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7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i/>
      <sz val="11"/>
      <color theme="1"/>
      <name val="Cascadia Code SemiBold"/>
      <family val="3"/>
    </font>
    <font>
      <sz val="28"/>
      <color theme="1"/>
      <name val="Georgia Pro Cond Black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2">
    <xf numFmtId="0" fontId="0" fillId="0" borderId="0" xfId="0"/>
    <xf numFmtId="14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0" borderId="0" xfId="0" applyFont="1"/>
    <xf numFmtId="0" fontId="18" fillId="0" borderId="14" xfId="0" applyFont="1" applyBorder="1"/>
    <xf numFmtId="0" fontId="18" fillId="0" borderId="17" xfId="0" applyFont="1" applyBorder="1"/>
    <xf numFmtId="9" fontId="22" fillId="0" borderId="15" xfId="0" applyNumberFormat="1" applyFont="1" applyBorder="1"/>
    <xf numFmtId="9" fontId="22" fillId="0" borderId="18" xfId="0" applyNumberFormat="1" applyFont="1" applyBorder="1"/>
    <xf numFmtId="0" fontId="23" fillId="0" borderId="0" xfId="0" applyFont="1"/>
    <xf numFmtId="0" fontId="22" fillId="0" borderId="14" xfId="0" applyFont="1" applyBorder="1"/>
    <xf numFmtId="3" fontId="22" fillId="0" borderId="14" xfId="0" applyNumberFormat="1" applyFont="1" applyBorder="1"/>
    <xf numFmtId="3" fontId="22" fillId="0" borderId="16" xfId="0" applyNumberFormat="1" applyFont="1" applyBorder="1"/>
    <xf numFmtId="9" fontId="22" fillId="0" borderId="20" xfId="0" applyNumberFormat="1" applyFont="1" applyBorder="1"/>
    <xf numFmtId="0" fontId="18" fillId="0" borderId="21" xfId="0" applyFont="1" applyBorder="1"/>
    <xf numFmtId="0" fontId="19" fillId="34" borderId="11" xfId="0" applyFont="1" applyFill="1" applyBorder="1"/>
    <xf numFmtId="9" fontId="22" fillId="0" borderId="12" xfId="0" applyNumberFormat="1" applyFont="1" applyBorder="1"/>
    <xf numFmtId="0" fontId="18" fillId="0" borderId="12" xfId="0" applyFont="1" applyBorder="1"/>
    <xf numFmtId="0" fontId="18" fillId="0" borderId="13" xfId="0" applyFont="1" applyBorder="1"/>
    <xf numFmtId="0" fontId="19" fillId="34" borderId="16" xfId="0" applyFont="1" applyFill="1" applyBorder="1"/>
    <xf numFmtId="9" fontId="22" fillId="0" borderId="17" xfId="0" applyNumberFormat="1" applyFont="1" applyBorder="1"/>
    <xf numFmtId="0" fontId="18" fillId="0" borderId="18" xfId="0" applyFont="1" applyBorder="1"/>
    <xf numFmtId="0" fontId="19" fillId="35" borderId="19" xfId="0" applyFont="1" applyFill="1" applyBorder="1"/>
    <xf numFmtId="0" fontId="18" fillId="0" borderId="20" xfId="0" applyFont="1" applyBorder="1"/>
    <xf numFmtId="0" fontId="0" fillId="0" borderId="21" xfId="0" applyBorder="1"/>
    <xf numFmtId="0" fontId="18" fillId="0" borderId="16" xfId="0" applyFont="1" applyBorder="1"/>
    <xf numFmtId="3" fontId="22" fillId="0" borderId="17" xfId="0" applyNumberFormat="1" applyFont="1" applyBorder="1"/>
    <xf numFmtId="0" fontId="19" fillId="33" borderId="10" xfId="0" applyFont="1" applyFill="1" applyBorder="1"/>
    <xf numFmtId="0" fontId="23" fillId="0" borderId="20" xfId="0" applyFont="1" applyBorder="1"/>
    <xf numFmtId="9" fontId="0" fillId="0" borderId="0" xfId="2" applyFont="1"/>
    <xf numFmtId="44" fontId="0" fillId="0" borderId="0" xfId="1" applyFont="1"/>
    <xf numFmtId="44" fontId="0" fillId="0" borderId="0" xfId="0" applyNumberFormat="1"/>
    <xf numFmtId="1" fontId="0" fillId="0" borderId="0" xfId="1" applyNumberFormat="1" applyFont="1"/>
    <xf numFmtId="0" fontId="20" fillId="0" borderId="0" xfId="0" applyFont="1"/>
    <xf numFmtId="0" fontId="0" fillId="0" borderId="0" xfId="0" applyAlignment="1">
      <alignment horizontal="center" vertical="center"/>
    </xf>
    <xf numFmtId="1" fontId="0" fillId="0" borderId="0" xfId="0" applyNumberFormat="1"/>
    <xf numFmtId="0" fontId="20" fillId="34" borderId="0" xfId="0" applyFont="1" applyFill="1"/>
    <xf numFmtId="0" fontId="0" fillId="34" borderId="0" xfId="0" applyFill="1"/>
    <xf numFmtId="1" fontId="0" fillId="34" borderId="0" xfId="0" applyNumberFormat="1" applyFill="1"/>
    <xf numFmtId="0" fontId="20" fillId="36" borderId="0" xfId="0" applyFont="1" applyFill="1"/>
    <xf numFmtId="0" fontId="0" fillId="36" borderId="0" xfId="0" applyFill="1"/>
    <xf numFmtId="0" fontId="20" fillId="37" borderId="0" xfId="0" applyFont="1" applyFill="1"/>
    <xf numFmtId="0" fontId="0" fillId="37" borderId="0" xfId="0" applyFill="1"/>
    <xf numFmtId="10" fontId="0" fillId="0" borderId="0" xfId="1" applyNumberFormat="1" applyFont="1"/>
    <xf numFmtId="10" fontId="0" fillId="0" borderId="0" xfId="2" applyNumberFormat="1" applyFont="1"/>
    <xf numFmtId="9" fontId="22" fillId="0" borderId="21" xfId="0" applyNumberFormat="1" applyFont="1" applyBorder="1"/>
    <xf numFmtId="0" fontId="0" fillId="0" borderId="0" xfId="0" applyAlignment="1">
      <alignment horizontal="center" vertical="center" wrapText="1"/>
    </xf>
    <xf numFmtId="0" fontId="0" fillId="36" borderId="20" xfId="0" applyFill="1" applyBorder="1" applyAlignment="1">
      <alignment horizontal="center" vertical="center" wrapText="1"/>
    </xf>
    <xf numFmtId="0" fontId="0" fillId="36" borderId="21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0" borderId="20" xfId="0" applyBorder="1"/>
    <xf numFmtId="0" fontId="20" fillId="33" borderId="19" xfId="0" applyFont="1" applyFill="1" applyBorder="1"/>
    <xf numFmtId="0" fontId="0" fillId="33" borderId="20" xfId="0" applyFill="1" applyBorder="1"/>
    <xf numFmtId="0" fontId="0" fillId="33" borderId="21" xfId="0" applyFill="1" applyBorder="1"/>
    <xf numFmtId="0" fontId="0" fillId="0" borderId="24" xfId="0" applyBorder="1"/>
    <xf numFmtId="0" fontId="0" fillId="0" borderId="23" xfId="0" applyBorder="1"/>
    <xf numFmtId="14" fontId="0" fillId="0" borderId="22" xfId="0" applyNumberFormat="1" applyBorder="1"/>
    <xf numFmtId="14" fontId="0" fillId="0" borderId="23" xfId="0" applyNumberFormat="1" applyBorder="1"/>
    <xf numFmtId="44" fontId="0" fillId="0" borderId="0" xfId="1" applyFont="1" applyBorder="1"/>
    <xf numFmtId="44" fontId="0" fillId="0" borderId="15" xfId="1" applyFont="1" applyBorder="1"/>
    <xf numFmtId="44" fontId="0" fillId="0" borderId="17" xfId="1" applyFont="1" applyBorder="1"/>
    <xf numFmtId="44" fontId="0" fillId="0" borderId="18" xfId="1" applyFont="1" applyBorder="1"/>
    <xf numFmtId="44" fontId="0" fillId="0" borderId="11" xfId="1" applyFont="1" applyBorder="1"/>
    <xf numFmtId="44" fontId="0" fillId="0" borderId="12" xfId="1" applyFont="1" applyBorder="1"/>
    <xf numFmtId="44" fontId="0" fillId="0" borderId="13" xfId="1" applyFont="1" applyBorder="1"/>
    <xf numFmtId="44" fontId="0" fillId="0" borderId="14" xfId="1" applyFont="1" applyBorder="1"/>
    <xf numFmtId="44" fontId="0" fillId="0" borderId="16" xfId="1" applyFont="1" applyBorder="1"/>
    <xf numFmtId="10" fontId="0" fillId="0" borderId="11" xfId="1" applyNumberFormat="1" applyFont="1" applyBorder="1"/>
    <xf numFmtId="14" fontId="0" fillId="0" borderId="14" xfId="0" applyNumberFormat="1" applyBorder="1"/>
    <xf numFmtId="14" fontId="0" fillId="0" borderId="16" xfId="0" applyNumberFormat="1" applyBorder="1"/>
    <xf numFmtId="10" fontId="0" fillId="0" borderId="0" xfId="1" applyNumberFormat="1" applyFont="1" applyBorder="1"/>
    <xf numFmtId="10" fontId="0" fillId="0" borderId="12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16" xfId="1" applyNumberFormat="1" applyFont="1" applyBorder="1"/>
    <xf numFmtId="10" fontId="0" fillId="0" borderId="17" xfId="1" applyNumberFormat="1" applyFont="1" applyBorder="1"/>
    <xf numFmtId="10" fontId="0" fillId="0" borderId="18" xfId="1" applyNumberFormat="1" applyFont="1" applyBorder="1"/>
    <xf numFmtId="0" fontId="0" fillId="0" borderId="22" xfId="0" applyBorder="1"/>
    <xf numFmtId="164" fontId="0" fillId="0" borderId="11" xfId="2" applyNumberFormat="1" applyFont="1" applyBorder="1"/>
    <xf numFmtId="164" fontId="0" fillId="0" borderId="12" xfId="2" applyNumberFormat="1" applyFont="1" applyBorder="1"/>
    <xf numFmtId="164" fontId="0" fillId="0" borderId="13" xfId="2" applyNumberFormat="1" applyFont="1" applyBorder="1"/>
    <xf numFmtId="164" fontId="0" fillId="0" borderId="14" xfId="2" applyNumberFormat="1" applyFont="1" applyBorder="1"/>
    <xf numFmtId="164" fontId="0" fillId="0" borderId="0" xfId="2" applyNumberFormat="1" applyFont="1" applyBorder="1"/>
    <xf numFmtId="164" fontId="0" fillId="0" borderId="15" xfId="2" applyNumberFormat="1" applyFont="1" applyBorder="1"/>
    <xf numFmtId="164" fontId="0" fillId="0" borderId="16" xfId="2" applyNumberFormat="1" applyFont="1" applyBorder="1"/>
    <xf numFmtId="164" fontId="0" fillId="0" borderId="17" xfId="2" applyNumberFormat="1" applyFont="1" applyBorder="1"/>
    <xf numFmtId="164" fontId="0" fillId="0" borderId="18" xfId="2" applyNumberFormat="1" applyFont="1" applyBorder="1"/>
    <xf numFmtId="0" fontId="0" fillId="33" borderId="10" xfId="0" applyFill="1" applyBorder="1"/>
    <xf numFmtId="164" fontId="0" fillId="0" borderId="24" xfId="2" applyNumberFormat="1" applyFont="1" applyBorder="1"/>
    <xf numFmtId="164" fontId="0" fillId="0" borderId="22" xfId="2" applyNumberFormat="1" applyFont="1" applyBorder="1"/>
    <xf numFmtId="164" fontId="0" fillId="0" borderId="23" xfId="2" applyNumberFormat="1" applyFont="1" applyBorder="1"/>
    <xf numFmtId="0" fontId="0" fillId="0" borderId="0" xfId="0" applyProtection="1">
      <protection locked="0"/>
    </xf>
    <xf numFmtId="44" fontId="0" fillId="0" borderId="0" xfId="1" applyFont="1" applyProtection="1">
      <protection locked="0"/>
    </xf>
    <xf numFmtId="9" fontId="0" fillId="0" borderId="0" xfId="2" applyFont="1" applyProtection="1">
      <protection locked="0"/>
    </xf>
    <xf numFmtId="1" fontId="0" fillId="0" borderId="0" xfId="1" applyNumberFormat="1" applyFont="1" applyProtection="1">
      <protection locked="0"/>
    </xf>
    <xf numFmtId="0" fontId="0" fillId="0" borderId="19" xfId="0" applyBorder="1"/>
    <xf numFmtId="0" fontId="0" fillId="0" borderId="10" xfId="0" applyBorder="1"/>
    <xf numFmtId="44" fontId="0" fillId="0" borderId="20" xfId="1" applyFont="1" applyBorder="1"/>
    <xf numFmtId="44" fontId="0" fillId="0" borderId="21" xfId="1" applyFont="1" applyBorder="1"/>
    <xf numFmtId="10" fontId="0" fillId="0" borderId="0" xfId="2" applyNumberFormat="1" applyFont="1" applyBorder="1"/>
    <xf numFmtId="10" fontId="0" fillId="0" borderId="15" xfId="2" applyNumberFormat="1" applyFont="1" applyBorder="1"/>
    <xf numFmtId="10" fontId="0" fillId="0" borderId="20" xfId="2" applyNumberFormat="1" applyFont="1" applyBorder="1"/>
    <xf numFmtId="10" fontId="0" fillId="0" borderId="21" xfId="2" applyNumberFormat="1" applyFont="1" applyBorder="1"/>
    <xf numFmtId="0" fontId="18" fillId="37" borderId="19" xfId="0" applyFont="1" applyFill="1" applyBorder="1"/>
    <xf numFmtId="0" fontId="0" fillId="37" borderId="20" xfId="0" applyFill="1" applyBorder="1"/>
    <xf numFmtId="0" fontId="0" fillId="37" borderId="21" xfId="0" applyFill="1" applyBorder="1"/>
    <xf numFmtId="10" fontId="0" fillId="0" borderId="13" xfId="2" applyNumberFormat="1" applyFont="1" applyBorder="1"/>
    <xf numFmtId="10" fontId="0" fillId="0" borderId="17" xfId="2" applyNumberFormat="1" applyFont="1" applyBorder="1"/>
    <xf numFmtId="0" fontId="0" fillId="37" borderId="19" xfId="0" applyFill="1" applyBorder="1"/>
    <xf numFmtId="0" fontId="0" fillId="37" borderId="13" xfId="0" applyFill="1" applyBorder="1"/>
    <xf numFmtId="0" fontId="0" fillId="37" borderId="12" xfId="0" applyFill="1" applyBorder="1"/>
    <xf numFmtId="0" fontId="21" fillId="38" borderId="11" xfId="0" applyFont="1" applyFill="1" applyBorder="1"/>
    <xf numFmtId="0" fontId="21" fillId="38" borderId="12" xfId="0" applyFont="1" applyFill="1" applyBorder="1"/>
    <xf numFmtId="0" fontId="0" fillId="38" borderId="12" xfId="0" applyFill="1" applyBorder="1"/>
    <xf numFmtId="0" fontId="18" fillId="38" borderId="12" xfId="0" applyFont="1" applyFill="1" applyBorder="1"/>
    <xf numFmtId="0" fontId="19" fillId="38" borderId="13" xfId="0" applyFont="1" applyFill="1" applyBorder="1"/>
    <xf numFmtId="2" fontId="0" fillId="0" borderId="0" xfId="0" applyNumberFormat="1"/>
    <xf numFmtId="0" fontId="24" fillId="0" borderId="0" xfId="0" applyFont="1"/>
    <xf numFmtId="2" fontId="0" fillId="0" borderId="17" xfId="0" applyNumberFormat="1" applyBorder="1"/>
    <xf numFmtId="0" fontId="0" fillId="0" borderId="0" xfId="0" quotePrefix="1"/>
    <xf numFmtId="165" fontId="0" fillId="0" borderId="0" xfId="0" applyNumberFormat="1" applyProtection="1">
      <protection locked="0"/>
    </xf>
    <xf numFmtId="165" fontId="0" fillId="0" borderId="0" xfId="0" applyNumberFormat="1"/>
    <xf numFmtId="0" fontId="0" fillId="33" borderId="24" xfId="0" applyFill="1" applyBorder="1"/>
    <xf numFmtId="10" fontId="0" fillId="0" borderId="22" xfId="1" applyNumberFormat="1" applyFont="1" applyBorder="1"/>
    <xf numFmtId="10" fontId="0" fillId="0" borderId="23" xfId="1" applyNumberFormat="1" applyFont="1" applyBorder="1"/>
    <xf numFmtId="0" fontId="18" fillId="0" borderId="10" xfId="0" applyFont="1" applyBorder="1"/>
    <xf numFmtId="3" fontId="22" fillId="0" borderId="0" xfId="0" applyNumberFormat="1" applyFont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0" fontId="0" fillId="33" borderId="19" xfId="0" applyFill="1" applyBorder="1"/>
    <xf numFmtId="0" fontId="21" fillId="33" borderId="20" xfId="0" applyFont="1" applyFill="1" applyBorder="1"/>
    <xf numFmtId="44" fontId="0" fillId="0" borderId="22" xfId="1" applyFont="1" applyBorder="1"/>
    <xf numFmtId="44" fontId="0" fillId="0" borderId="23" xfId="1" applyFont="1" applyBorder="1"/>
    <xf numFmtId="44" fontId="0" fillId="0" borderId="10" xfId="0" applyNumberFormat="1" applyBorder="1"/>
    <xf numFmtId="0" fontId="0" fillId="36" borderId="10" xfId="0" applyFill="1" applyBorder="1"/>
    <xf numFmtId="10" fontId="0" fillId="0" borderId="12" xfId="2" applyNumberFormat="1" applyFont="1" applyBorder="1"/>
    <xf numFmtId="44" fontId="0" fillId="0" borderId="19" xfId="1" applyFont="1" applyBorder="1"/>
    <xf numFmtId="44" fontId="0" fillId="0" borderId="12" xfId="0" applyNumberFormat="1" applyBorder="1"/>
    <xf numFmtId="44" fontId="24" fillId="0" borderId="12" xfId="1" applyFont="1" applyBorder="1" applyAlignment="1">
      <alignment vertical="center"/>
    </xf>
    <xf numFmtId="2" fontId="0" fillId="0" borderId="12" xfId="0" applyNumberFormat="1" applyBorder="1"/>
    <xf numFmtId="0" fontId="0" fillId="0" borderId="29" xfId="0" applyBorder="1"/>
    <xf numFmtId="0" fontId="0" fillId="39" borderId="12" xfId="0" applyFill="1" applyBorder="1"/>
    <xf numFmtId="0" fontId="0" fillId="39" borderId="13" xfId="0" applyFill="1" applyBorder="1"/>
    <xf numFmtId="0" fontId="0" fillId="0" borderId="28" xfId="0" applyBorder="1"/>
    <xf numFmtId="10" fontId="0" fillId="0" borderId="10" xfId="2" applyNumberFormat="1" applyFont="1" applyFill="1" applyBorder="1"/>
    <xf numFmtId="0" fontId="0" fillId="36" borderId="21" xfId="0" applyFill="1" applyBorder="1"/>
    <xf numFmtId="0" fontId="16" fillId="0" borderId="30" xfId="0" applyFont="1" applyBorder="1"/>
    <xf numFmtId="0" fontId="16" fillId="0" borderId="31" xfId="0" applyFont="1" applyBorder="1"/>
    <xf numFmtId="0" fontId="16" fillId="0" borderId="32" xfId="0" applyFont="1" applyBorder="1"/>
    <xf numFmtId="0" fontId="0" fillId="41" borderId="19" xfId="0" applyFill="1" applyBorder="1"/>
    <xf numFmtId="0" fontId="0" fillId="41" borderId="20" xfId="0" applyFill="1" applyBorder="1"/>
    <xf numFmtId="0" fontId="0" fillId="41" borderId="21" xfId="0" applyFill="1" applyBorder="1"/>
    <xf numFmtId="0" fontId="26" fillId="41" borderId="19" xfId="0" applyFont="1" applyFill="1" applyBorder="1" applyAlignment="1">
      <alignment vertical="center"/>
    </xf>
    <xf numFmtId="0" fontId="28" fillId="0" borderId="0" xfId="0" applyFont="1"/>
    <xf numFmtId="10" fontId="0" fillId="0" borderId="0" xfId="0" applyNumberFormat="1"/>
    <xf numFmtId="2" fontId="0" fillId="0" borderId="0" xfId="2" applyNumberFormat="1" applyFont="1"/>
    <xf numFmtId="0" fontId="26" fillId="0" borderId="14" xfId="0" applyFont="1" applyBorder="1" applyAlignment="1">
      <alignment vertical="center"/>
    </xf>
    <xf numFmtId="0" fontId="27" fillId="0" borderId="14" xfId="0" applyFont="1" applyBorder="1" applyAlignment="1">
      <alignment vertical="center"/>
    </xf>
    <xf numFmtId="0" fontId="0" fillId="40" borderId="14" xfId="0" applyFill="1" applyBorder="1"/>
    <xf numFmtId="0" fontId="0" fillId="40" borderId="0" xfId="0" applyFill="1"/>
    <xf numFmtId="0" fontId="0" fillId="40" borderId="15" xfId="0" applyFill="1" applyBorder="1"/>
    <xf numFmtId="0" fontId="25" fillId="0" borderId="14" xfId="0" applyFont="1" applyBorder="1"/>
    <xf numFmtId="0" fontId="29" fillId="39" borderId="11" xfId="0" applyFont="1" applyFill="1" applyBorder="1"/>
    <xf numFmtId="164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5" formatCode="0.000"/>
    </dxf>
    <dxf>
      <numFmt numFmtId="1" formatCode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9" formatCode="m/d/yyyy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1F1F1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Overpay vs a marginal structure grew yearly, $0.64M to $1.57M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rgbClr val="1F1F1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Charts!$L$4</c:f>
              <c:strCache>
                <c:ptCount val="1"/>
                <c:pt idx="0">
                  <c:v>Overpay flat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Charts!$K$5:$K$9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Charts!$L$5:$L$9</c:f>
              <c:numCache>
                <c:formatCode>_("$"* #,##0.00_);_("$"* \(#,##0.00\);_("$"* "-"??_);_(@_)</c:formatCode>
                <c:ptCount val="5"/>
                <c:pt idx="0">
                  <c:v>642125</c:v>
                </c:pt>
                <c:pt idx="1">
                  <c:v>849375</c:v>
                </c:pt>
                <c:pt idx="2">
                  <c:v>1077250</c:v>
                </c:pt>
                <c:pt idx="3">
                  <c:v>1339375</c:v>
                </c:pt>
                <c:pt idx="4">
                  <c:v>1572375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12-42F7-8E5E-3244476C8A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overlap val="-27"/>
        <c:axId val="1156150991"/>
        <c:axId val="1575505103"/>
      </c:barChart>
      <c:catAx>
        <c:axId val="1156150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05103"/>
        <c:crosses val="autoZero"/>
        <c:auto val="1"/>
        <c:lblAlgn val="ctr"/>
        <c:lblOffset val="100"/>
        <c:noMultiLvlLbl val="0"/>
      </c:catAx>
      <c:valAx>
        <c:axId val="1575505103"/>
        <c:scaling>
          <c:orientation val="minMax"/>
          <c:min val="0"/>
        </c:scaling>
        <c:delete val="0"/>
        <c:axPos val="l"/>
        <c:numFmt formatCode="&quot;$&quot;0.0,,&quot;M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509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1F1F1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Flat payout rate passes the 45% warning line in 2023; indexed tiers hold near 40%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Charts!$L$23</c:f>
              <c:strCache>
                <c:ptCount val="1"/>
                <c:pt idx="0">
                  <c:v>Flat </c:v>
                </c:pt>
              </c:strCache>
            </c:strRef>
          </c:tx>
          <c:spPr>
            <a:ln w="38100" cap="rnd">
              <a:solidFill>
                <a:srgbClr val="1F4D1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00" b="1">
                      <a:solidFill>
                        <a:srgbClr val="1F4D1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C1-49B0-86EB-58C333A63128}"/>
                </c:ext>
              </c:extLst>
            </c:dLbl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Charts!$K$24:$K$28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Charts!$L$24:$L$28</c:f>
              <c:numCache>
                <c:formatCode>0.00%</c:formatCode>
                <c:ptCount val="5"/>
                <c:pt idx="0">
                  <c:v>0.40565589449793726</c:v>
                </c:pt>
                <c:pt idx="1">
                  <c:v>0.43750424755414352</c:v>
                </c:pt>
                <c:pt idx="2">
                  <c:v>0.463738600704521</c:v>
                </c:pt>
                <c:pt idx="3">
                  <c:v>0.49538048230178144</c:v>
                </c:pt>
                <c:pt idx="4">
                  <c:v>0.51990084365038514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B5-4E34-AF8A-D69C391CD2F8}"/>
            </c:ext>
          </c:extLst>
        </c:ser>
        <c:ser>
          <c:idx val="1"/>
          <c:order val="1"/>
          <c:tx>
            <c:strRef>
              <c:f>Charts!$M$23</c:f>
              <c:strCache>
                <c:ptCount val="1"/>
                <c:pt idx="0">
                  <c:v>Indexed tiers</c:v>
                </c:pt>
              </c:strCache>
            </c:strRef>
          </c:tx>
          <c:spPr>
            <a:ln w="28575" cap="rnd">
              <a:solidFill>
                <a:srgbClr val="2E75B6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00" b="1">
                      <a:solidFill>
                        <a:srgbClr val="2E75B6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C1-49B0-86EB-58C333A63128}"/>
                </c:ext>
              </c:extLst>
            </c:dLbl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Charts!$K$24:$K$28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Charts!$M$24:$M$28</c:f>
              <c:numCache>
                <c:formatCode>0.00%</c:formatCode>
                <c:ptCount val="5"/>
                <c:pt idx="0">
                  <c:v>0.40565589449793726</c:v>
                </c:pt>
                <c:pt idx="1">
                  <c:v>0.4031321847065526</c:v>
                </c:pt>
                <c:pt idx="2">
                  <c:v>0.39779307643700412</c:v>
                </c:pt>
                <c:pt idx="3">
                  <c:v>0.39766491462171283</c:v>
                </c:pt>
                <c:pt idx="4">
                  <c:v>0.39402613151740828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B5-4E34-AF8A-D69C391CD2F8}"/>
            </c:ext>
          </c:extLst>
        </c:ser>
        <c:ser>
          <c:idx val="2"/>
          <c:order val="2"/>
          <c:tx>
            <c:strRef>
              <c:f>Charts!$N$23</c:f>
              <c:strCache>
                <c:ptCount val="1"/>
                <c:pt idx="0">
                  <c:v>Marginal</c:v>
                </c:pt>
              </c:strCache>
            </c:strRef>
          </c:tx>
          <c:spPr>
            <a:ln w="19050" cap="rnd">
              <a:solidFill>
                <a:srgbClr val="BFBFB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00" b="1">
                      <a:solidFill>
                        <a:srgbClr val="7F7F7F"/>
                      </a:solidFill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C1-49B0-86EB-58C333A63128}"/>
                </c:ext>
              </c:extLst>
            </c:dLbl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Charts!$K$24:$K$28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Charts!$N$24:$N$28</c:f>
              <c:numCache>
                <c:formatCode>0.00%</c:formatCode>
                <c:ptCount val="5"/>
                <c:pt idx="0">
                  <c:v>0.3079255130392996</c:v>
                </c:pt>
                <c:pt idx="1">
                  <c:v>0.32200407425594968</c:v>
                </c:pt>
                <c:pt idx="2">
                  <c:v>0.33690980832652778</c:v>
                </c:pt>
                <c:pt idx="3">
                  <c:v>0.35547018608264735</c:v>
                </c:pt>
                <c:pt idx="4">
                  <c:v>0.37255383397439273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B5-4E34-AF8A-D69C391CD2F8}"/>
            </c:ext>
          </c:extLst>
        </c:ser>
        <c:ser>
          <c:idx val="3"/>
          <c:order val="3"/>
          <c:tx>
            <c:strRef>
              <c:f>Charts!$O$23</c:f>
              <c:strCache>
                <c:ptCount val="1"/>
                <c:pt idx="0">
                  <c:v>Warning line</c:v>
                </c:pt>
              </c:strCache>
            </c:strRef>
          </c:tx>
          <c:spPr>
            <a:ln w="12700" cap="rnd">
              <a:solidFill>
                <a:srgbClr val="595959"/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00" b="1">
                      <a:solidFill>
                        <a:srgbClr val="595959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C1-49B0-86EB-58C333A63128}"/>
                </c:ext>
              </c:extLst>
            </c:dLbl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Charts!$K$24:$K$28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Charts!$O$24:$O$28</c:f>
              <c:numCache>
                <c:formatCode>0%</c:formatCode>
                <c:ptCount val="5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B5-4E34-AF8A-D69C391C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6152383"/>
        <c:axId val="1575522383"/>
      </c:lineChart>
      <c:catAx>
        <c:axId val="115615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22383"/>
        <c:crosses val="autoZero"/>
        <c:auto val="1"/>
        <c:lblAlgn val="ctr"/>
        <c:lblOffset val="100"/>
        <c:noMultiLvlLbl val="0"/>
      </c:catAx>
      <c:valAx>
        <c:axId val="1575522383"/>
        <c:scaling>
          <c:orientation val="minMax"/>
          <c:max val="0.55000000000000004"/>
          <c:min val="0.25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152383"/>
        <c:crosses val="autoZero"/>
        <c:crossBetween val="between"/>
        <c:majorUnit val="0.05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rgbClr val="1F1F1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Flat commissions grew 2.1x while margin dollars grew 1.6x, 2021 to 2025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Charts!$L$42</c:f>
              <c:strCache>
                <c:ptCount val="1"/>
                <c:pt idx="0">
                  <c:v>Flat commissions</c:v>
                </c:pt>
              </c:strCache>
            </c:strRef>
          </c:tx>
          <c:spPr>
            <a:ln w="38100" cap="rnd">
              <a:solidFill>
                <a:srgbClr val="1F4D1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00" b="1">
                      <a:solidFill>
                        <a:srgbClr val="1F4D1F"/>
                      </a:solidFill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51-454C-AEFF-A42F31AD8225}"/>
                </c:ext>
              </c:extLst>
            </c:dLbl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Charts!$K$43:$K$47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Charts!$L$43:$L$47</c:f>
              <c:numCache>
                <c:formatCode>0.00</c:formatCode>
                <c:ptCount val="5"/>
                <c:pt idx="0">
                  <c:v>1</c:v>
                </c:pt>
                <c:pt idx="1">
                  <c:v>1.2071224755211394</c:v>
                </c:pt>
                <c:pt idx="2">
                  <c:v>1.4778287695178407</c:v>
                </c:pt>
                <c:pt idx="3">
                  <c:v>1.779277259230599</c:v>
                </c:pt>
                <c:pt idx="4">
                  <c:v>2.0815533675733779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DC-474E-AFF0-1C8821AA33FE}"/>
            </c:ext>
          </c:extLst>
        </c:ser>
        <c:ser>
          <c:idx val="1"/>
          <c:order val="1"/>
          <c:tx>
            <c:strRef>
              <c:f>Charts!$M$42</c:f>
              <c:strCache>
                <c:ptCount val="1"/>
                <c:pt idx="0">
                  <c:v>Margin dollars</c:v>
                </c:pt>
              </c:strCache>
            </c:strRef>
          </c:tx>
          <c:spPr>
            <a:ln w="28575" cap="rnd">
              <a:solidFill>
                <a:srgbClr val="BFBFBF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4"/>
              <c:spPr>
                <a:noFill/>
                <a:ln>
                  <a:noFill/>
                </a:ln>
              </c:spPr>
              <c:txPr>
                <a:bodyPr/>
                <a:lstStyle/>
                <a:p>
                  <a:pPr>
                    <a:defRPr sz="900" b="1">
                      <a:solidFill>
                        <a:srgbClr val="7F7F7F"/>
                      </a:solidFill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51-454C-AEFF-A42F31AD8225}"/>
                </c:ext>
              </c:extLst>
            </c:dLbl>
            <c:spPr>
              <a:noFill/>
              <a:ln>
                <a:noFill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Charts!$K$43:$K$47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Charts!$M$43:$M$47</c:f>
              <c:numCache>
                <c:formatCode>0.00</c:formatCode>
                <c:ptCount val="5"/>
                <c:pt idx="0">
                  <c:v>1</c:v>
                </c:pt>
                <c:pt idx="1">
                  <c:v>1.1192493565802284</c:v>
                </c:pt>
                <c:pt idx="2">
                  <c:v>1.2927324801144189</c:v>
                </c:pt>
                <c:pt idx="3">
                  <c:v>1.4570099831129968</c:v>
                </c:pt>
                <c:pt idx="4">
                  <c:v>1.6241450722399626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DC-474E-AFF0-1C8821AA3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897375"/>
        <c:axId val="1573905423"/>
      </c:lineChart>
      <c:catAx>
        <c:axId val="144889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905423"/>
        <c:crosses val="autoZero"/>
        <c:auto val="1"/>
        <c:lblAlgn val="ctr"/>
        <c:lblOffset val="100"/>
        <c:noMultiLvlLbl val="0"/>
      </c:catAx>
      <c:valAx>
        <c:axId val="1573905423"/>
        <c:scaling>
          <c:orientation val="minMax"/>
          <c:max val="2.5"/>
          <c:min val="0.5"/>
        </c:scaling>
        <c:delete val="0"/>
        <c:axPos val="l"/>
        <c:numFmt formatCode="0.0\x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897375"/>
        <c:crosses val="autoZero"/>
        <c:crossBetween val="between"/>
        <c:majorUnit val="0.5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BFBFBF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8</xdr:col>
      <xdr:colOff>0</xdr:colOff>
      <xdr:row>15</xdr:row>
      <xdr:rowOff>184503</xdr:rowOff>
    </xdr:to>
    <xdr:graphicFrame macro="">
      <xdr:nvGraphicFramePr>
        <xdr:cNvPr id="26" name="Annual Overpay" descr="Clustered column chart showing annual company overpay from 2021 through 2025." title="Annual flat commission overpay">
          <a:extLst>
            <a:ext uri="{FF2B5EF4-FFF2-40B4-BE49-F238E27FC236}">
              <a16:creationId xmlns:a16="http://schemas.microsoft.com/office/drawing/2014/main" id="{F7E7F14D-E148-3C51-4925-FC9D88AF0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8</xdr:col>
      <xdr:colOff>0</xdr:colOff>
      <xdr:row>32</xdr:row>
      <xdr:rowOff>0</xdr:rowOff>
    </xdr:to>
    <xdr:graphicFrame macro="">
      <xdr:nvGraphicFramePr>
        <xdr:cNvPr id="27" name="Payout Rate Comparison" descr="Line chart comparing flat, indexed tier, and marginal payout rates with a 45 percent warning line." title="Payout rates by commission plan">
          <a:extLst>
            <a:ext uri="{FF2B5EF4-FFF2-40B4-BE49-F238E27FC236}">
              <a16:creationId xmlns:a16="http://schemas.microsoft.com/office/drawing/2014/main" id="{9906A6B7-8AB9-CAB5-375E-BBB8A40BB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28" name="Commission vs Margin Growth" descr="Line chart comparing indexed flat commission and margin dollar growth from 2021 through 2025." title="Commission growth versus margin growth">
          <a:extLst>
            <a:ext uri="{FF2B5EF4-FFF2-40B4-BE49-F238E27FC236}">
              <a16:creationId xmlns:a16="http://schemas.microsoft.com/office/drawing/2014/main" id="{08B7DC97-4F67-7E60-36D8-1B7B29626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ADA57-0C18-45DD-A258-0639D1450046}" name="tbl_rep_mon" displayName="tbl_rep_mon" ref="A1:M1201" totalsRowShown="0" headerRowDxfId="20">
  <autoFilter ref="A1:M1201" xr:uid="{E07ADA57-0C18-45DD-A258-0639D1450046}"/>
  <tableColumns count="13">
    <tableColumn id="1" xr3:uid="{0A4339D8-5B2A-43D1-B3E4-14E90AE2C6E6}" name="rep_id"/>
    <tableColumn id="2" xr3:uid="{2EDDBAFD-0D65-43B3-A0B0-334B9C1DF21A}" name="region_id"/>
    <tableColumn id="3" xr3:uid="{D3559716-8947-4F3E-8462-59EA8E5BDFBC}" name="net_sales" dataCellStyle="Currency"/>
    <tableColumn id="4" xr3:uid="{93F68B6A-FFEE-49DF-A2A4-47E94C1CE473}" name="month_start" dataDxfId="19"/>
    <tableColumn id="5" xr3:uid="{BAABCDD5-DB4B-4825-BB6A-0382D60E82E2}" name="rate" dataCellStyle="Percent">
      <calculatedColumnFormula>_xlfn.XLOOKUP(C2,tier_floor,tier_rate,,-1)</calculatedColumnFormula>
    </tableColumn>
    <tableColumn id="6" xr3:uid="{C063C97E-5100-4B4D-86AF-07CC8DAF6697}" name="margin_dollars" dataDxfId="18">
      <calculatedColumnFormula>C2*margin_rate</calculatedColumnFormula>
    </tableColumn>
    <tableColumn id="7" xr3:uid="{B9A992A5-D804-4646-830D-66560EF7A8DC}" name="flat_commission" dataDxfId="17">
      <calculatedColumnFormula>F2*E2</calculatedColumnFormula>
    </tableColumn>
    <tableColumn id="8" xr3:uid="{229DF2FB-B2C3-4C9A-9985-020E628BC5F8}" name="marginal_commission" dataCellStyle="Currency">
      <calculatedColumnFormula array="1">SUMPRODUCT((C2&gt;tier_floor)*((C2-tier_floor)*step)*margin_rate)</calculatedColumnFormula>
    </tableColumn>
    <tableColumn id="9" xr3:uid="{00936BCD-5C89-43A0-A1B0-3342712C1486}" name="overpay" dataDxfId="16">
      <calculatedColumnFormula>G2-H2</calculatedColumnFormula>
    </tableColumn>
    <tableColumn id="11" xr3:uid="{E1EB151B-9EF5-407E-A9A9-C9451C00FA92}" name="year" dataDxfId="15" dataCellStyle="Currency">
      <calculatedColumnFormula>YEAR(D2)</calculatedColumnFormula>
    </tableColumn>
    <tableColumn id="12" xr3:uid="{B5C0FB90-CE45-4209-A7C9-B54AE4843F66}" name="index_factor" dataDxfId="14">
      <calculatedColumnFormula>(1+target)^($J2-(MIN(tbl_rep_mon[year])))</calculatedColumnFormula>
    </tableColumn>
    <tableColumn id="13" xr3:uid="{53F95CB8-B249-44C5-ADED-8E628993960C}" name="indexed_rate" dataCellStyle="Percent">
      <calculatedColumnFormula>_xlfn.XLOOKUP(($C2/$K2),tier_floor,tier_rate,,-1)</calculatedColumnFormula>
    </tableColumn>
    <tableColumn id="14" xr3:uid="{2766123E-1833-4822-8C3D-DF549ED65DA4}" name="indexed_commission" dataDxfId="13">
      <calculatedColumnFormula>$F2*$L2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4D1C73-D73E-4A6A-868D-97F2989378D0}" name="Payout_by_Plan_helper" displayName="Payout_by_Plan_helper" ref="L23:O28" totalsRowShown="0">
  <autoFilter ref="L23:O28" xr:uid="{A74D1C73-D73E-4A6A-868D-97F2989378D0}"/>
  <tableColumns count="4">
    <tableColumn id="1" xr3:uid="{221DFE3E-9C92-4300-9E56-77251AB9A571}" name="Flat " dataDxfId="12">
      <calculatedColumnFormula>Scenarios!B13</calculatedColumnFormula>
    </tableColumn>
    <tableColumn id="2" xr3:uid="{B48513B4-A8B0-45AA-BDDC-6001FC13AFFE}" name="Indexed tiers">
      <calculatedColumnFormula>Scenarios!C13</calculatedColumnFormula>
    </tableColumn>
    <tableColumn id="3" xr3:uid="{3A399230-F756-4DEB-8912-9F41C5366E0E}" name="Marginal">
      <calculatedColumnFormula>Scenarios!D13</calculatedColumnFormula>
    </tableColumn>
    <tableColumn id="4" xr3:uid="{94C47613-480C-4EF5-B543-BABF6E03F6F0}" name="Warning line" dataCellStyle="Percent">
      <calculatedColumnFormula>warning_level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FBC5A5-6B94-4F6F-A49B-3A2B5A42115D}" name="Commission_margin_helper" displayName="Commission_margin_helper" ref="L42:M47" totalsRowShown="0" dataDxfId="11" dataCellStyle="Percent">
  <autoFilter ref="L42:M47" xr:uid="{EAFBC5A5-6B94-4F6F-A49B-3A2B5A42115D}"/>
  <tableColumns count="2">
    <tableColumn id="1" xr3:uid="{E170CF48-1B2D-484F-9C0A-7072EE2D0F55}" name="Flat commissions" dataDxfId="10" dataCellStyle="Percent">
      <calculatedColumnFormula>Scenarios!C3</calculatedColumnFormula>
    </tableColumn>
    <tableColumn id="2" xr3:uid="{1DA1E54F-1207-4342-B70D-4B806B77CFDD}" name="Margin dollars" dataDxfId="9" dataCellStyle="Percent">
      <calculatedColumnFormula>SUMIFS(tbl_rep_mon[margin_dollars],tbl_rep_mon[year],$K43)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11C987-56AB-4AFB-827A-990D484A6104}" name="overpay_helper" displayName="overpay_helper" ref="L4:L9" totalsRowShown="0">
  <autoFilter ref="L4:L9" xr:uid="{0211C987-56AB-4AFB-827A-990D484A6104}"/>
  <tableColumns count="1">
    <tableColumn id="1" xr3:uid="{FFBF6849-3240-462F-B3B7-D293B3F9ABC6}" name="Overpay fl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5B5F-A285-4328-8241-70B917E2312B}">
  <dimension ref="B1:I53"/>
  <sheetViews>
    <sheetView topLeftCell="A4" zoomScale="147" workbookViewId="0">
      <selection activeCell="B13" sqref="B13"/>
    </sheetView>
  </sheetViews>
  <sheetFormatPr defaultRowHeight="14.6" x14ac:dyDescent="0.4"/>
  <sheetData>
    <row r="1" spans="2:9" ht="47.15" customHeight="1" x14ac:dyDescent="0.9">
      <c r="B1" s="170" t="s">
        <v>193</v>
      </c>
      <c r="C1" s="149"/>
      <c r="D1" s="149"/>
      <c r="E1" s="149"/>
      <c r="F1" s="149"/>
      <c r="G1" s="149"/>
      <c r="H1" s="149"/>
      <c r="I1" s="150"/>
    </row>
    <row r="2" spans="2:9" ht="15" thickBot="1" x14ac:dyDescent="0.45">
      <c r="B2" s="151"/>
      <c r="C2" s="148"/>
      <c r="D2" s="148"/>
      <c r="E2" s="148"/>
      <c r="F2" s="148"/>
      <c r="G2" s="148"/>
      <c r="H2" s="148"/>
      <c r="I2" s="6"/>
    </row>
    <row r="3" spans="2:9" ht="15" thickBot="1" x14ac:dyDescent="0.45">
      <c r="B3" s="157" t="s">
        <v>137</v>
      </c>
      <c r="C3" s="158"/>
      <c r="D3" s="158"/>
      <c r="E3" s="158"/>
      <c r="F3" s="158"/>
      <c r="G3" s="158"/>
      <c r="H3" s="158"/>
      <c r="I3" s="159"/>
    </row>
    <row r="4" spans="2:9" x14ac:dyDescent="0.4">
      <c r="B4" s="5"/>
      <c r="I4" s="6"/>
    </row>
    <row r="5" spans="2:9" x14ac:dyDescent="0.4">
      <c r="B5" s="164" t="s">
        <v>169</v>
      </c>
      <c r="I5" s="6"/>
    </row>
    <row r="6" spans="2:9" ht="15" thickBot="1" x14ac:dyDescent="0.45">
      <c r="B6" s="164"/>
      <c r="I6" s="6"/>
    </row>
    <row r="7" spans="2:9" ht="15" thickBot="1" x14ac:dyDescent="0.45">
      <c r="B7" s="160" t="s">
        <v>186</v>
      </c>
      <c r="C7" s="158"/>
      <c r="D7" s="158"/>
      <c r="E7" s="158"/>
      <c r="F7" s="158"/>
      <c r="G7" s="158"/>
      <c r="H7" s="158"/>
      <c r="I7" s="159"/>
    </row>
    <row r="8" spans="2:9" ht="15.9" x14ac:dyDescent="0.4">
      <c r="B8" s="165"/>
      <c r="I8" s="6"/>
    </row>
    <row r="9" spans="2:9" x14ac:dyDescent="0.4">
      <c r="B9" s="5" t="s">
        <v>183</v>
      </c>
      <c r="I9" s="6"/>
    </row>
    <row r="10" spans="2:9" x14ac:dyDescent="0.4">
      <c r="B10" s="164" t="s">
        <v>184</v>
      </c>
      <c r="I10" s="6"/>
    </row>
    <row r="11" spans="2:9" x14ac:dyDescent="0.4">
      <c r="B11" s="164" t="s">
        <v>200</v>
      </c>
      <c r="I11" s="6"/>
    </row>
    <row r="12" spans="2:9" x14ac:dyDescent="0.4">
      <c r="B12" s="5" t="s">
        <v>201</v>
      </c>
      <c r="I12" s="6"/>
    </row>
    <row r="13" spans="2:9" x14ac:dyDescent="0.4">
      <c r="B13" s="5" t="s">
        <v>185</v>
      </c>
      <c r="I13" s="6"/>
    </row>
    <row r="14" spans="2:9" ht="15" thickBot="1" x14ac:dyDescent="0.45">
      <c r="B14" s="5"/>
      <c r="I14" s="6"/>
    </row>
    <row r="15" spans="2:9" ht="15" thickBot="1" x14ac:dyDescent="0.45">
      <c r="B15" s="157" t="s">
        <v>138</v>
      </c>
      <c r="C15" s="158"/>
      <c r="D15" s="158"/>
      <c r="E15" s="158"/>
      <c r="F15" s="158"/>
      <c r="G15" s="158"/>
      <c r="H15" s="158"/>
      <c r="I15" s="159"/>
    </row>
    <row r="16" spans="2:9" x14ac:dyDescent="0.4">
      <c r="B16" s="5"/>
      <c r="I16" s="6"/>
    </row>
    <row r="17" spans="2:9" x14ac:dyDescent="0.4">
      <c r="B17" s="166" t="s">
        <v>140</v>
      </c>
      <c r="C17" s="167"/>
      <c r="D17" s="167" t="s">
        <v>141</v>
      </c>
      <c r="E17" s="167"/>
      <c r="F17" s="167"/>
      <c r="G17" s="167"/>
      <c r="H17" s="167"/>
      <c r="I17" s="168"/>
    </row>
    <row r="18" spans="2:9" x14ac:dyDescent="0.4">
      <c r="B18" s="166"/>
      <c r="C18" s="167"/>
      <c r="D18" s="167" t="s">
        <v>179</v>
      </c>
      <c r="E18" s="167"/>
      <c r="F18" s="167"/>
      <c r="G18" s="167"/>
      <c r="H18" s="167"/>
      <c r="I18" s="168"/>
    </row>
    <row r="19" spans="2:9" x14ac:dyDescent="0.4">
      <c r="B19" s="5" t="s">
        <v>142</v>
      </c>
      <c r="D19" t="s">
        <v>143</v>
      </c>
      <c r="I19" s="6"/>
    </row>
    <row r="20" spans="2:9" x14ac:dyDescent="0.4">
      <c r="B20" s="166" t="s">
        <v>144</v>
      </c>
      <c r="C20" s="167"/>
      <c r="D20" s="167" t="s">
        <v>146</v>
      </c>
      <c r="E20" s="167"/>
      <c r="F20" s="167"/>
      <c r="G20" s="167"/>
      <c r="H20" s="167"/>
      <c r="I20" s="168"/>
    </row>
    <row r="21" spans="2:9" x14ac:dyDescent="0.4">
      <c r="B21" s="166"/>
      <c r="C21" s="167"/>
      <c r="D21" s="167" t="s">
        <v>147</v>
      </c>
      <c r="E21" s="167"/>
      <c r="F21" s="167"/>
      <c r="G21" s="167"/>
      <c r="H21" s="167"/>
      <c r="I21" s="168"/>
    </row>
    <row r="22" spans="2:9" x14ac:dyDescent="0.4">
      <c r="B22" s="5" t="s">
        <v>145</v>
      </c>
      <c r="D22" t="s">
        <v>180</v>
      </c>
      <c r="I22" s="6"/>
    </row>
    <row r="23" spans="2:9" x14ac:dyDescent="0.4">
      <c r="B23" s="5"/>
      <c r="D23" t="s">
        <v>148</v>
      </c>
      <c r="I23" s="6"/>
    </row>
    <row r="24" spans="2:9" x14ac:dyDescent="0.4">
      <c r="B24" s="166" t="s">
        <v>149</v>
      </c>
      <c r="C24" s="167"/>
      <c r="D24" s="167" t="s">
        <v>150</v>
      </c>
      <c r="E24" s="167"/>
      <c r="F24" s="167"/>
      <c r="G24" s="167"/>
      <c r="H24" s="167"/>
      <c r="I24" s="168"/>
    </row>
    <row r="25" spans="2:9" x14ac:dyDescent="0.4">
      <c r="B25" s="166"/>
      <c r="C25" s="167"/>
      <c r="D25" s="167" t="s">
        <v>194</v>
      </c>
      <c r="E25" s="167"/>
      <c r="F25" s="167"/>
      <c r="G25" s="167"/>
      <c r="H25" s="167"/>
      <c r="I25" s="168"/>
    </row>
    <row r="26" spans="2:9" x14ac:dyDescent="0.4">
      <c r="B26" s="5" t="s">
        <v>151</v>
      </c>
      <c r="D26" t="s">
        <v>152</v>
      </c>
      <c r="I26" s="6"/>
    </row>
    <row r="27" spans="2:9" x14ac:dyDescent="0.4">
      <c r="B27" s="5"/>
      <c r="D27" t="s">
        <v>154</v>
      </c>
      <c r="I27" s="6"/>
    </row>
    <row r="28" spans="2:9" x14ac:dyDescent="0.4">
      <c r="B28" s="5"/>
      <c r="D28" t="s">
        <v>153</v>
      </c>
      <c r="I28" s="6"/>
    </row>
    <row r="29" spans="2:9" x14ac:dyDescent="0.4">
      <c r="B29" s="166" t="s">
        <v>155</v>
      </c>
      <c r="C29" s="167"/>
      <c r="D29" s="167" t="s">
        <v>181</v>
      </c>
      <c r="E29" s="167"/>
      <c r="F29" s="167"/>
      <c r="G29" s="167"/>
      <c r="H29" s="167"/>
      <c r="I29" s="168"/>
    </row>
    <row r="30" spans="2:9" x14ac:dyDescent="0.4">
      <c r="B30" s="166"/>
      <c r="C30" s="167"/>
      <c r="D30" s="167" t="s">
        <v>182</v>
      </c>
      <c r="E30" s="167"/>
      <c r="F30" s="167"/>
      <c r="G30" s="167"/>
      <c r="H30" s="167"/>
      <c r="I30" s="168"/>
    </row>
    <row r="31" spans="2:9" x14ac:dyDescent="0.4">
      <c r="B31" s="5" t="s">
        <v>156</v>
      </c>
      <c r="D31" t="s">
        <v>198</v>
      </c>
      <c r="I31" s="6"/>
    </row>
    <row r="32" spans="2:9" x14ac:dyDescent="0.4">
      <c r="B32" s="5"/>
      <c r="D32" t="s">
        <v>199</v>
      </c>
      <c r="I32" s="6"/>
    </row>
    <row r="33" spans="2:9" x14ac:dyDescent="0.4">
      <c r="B33" s="5"/>
      <c r="D33" t="s">
        <v>157</v>
      </c>
      <c r="I33" s="6"/>
    </row>
    <row r="34" spans="2:9" x14ac:dyDescent="0.4">
      <c r="B34" s="5"/>
      <c r="D34" t="s">
        <v>158</v>
      </c>
      <c r="I34" s="6"/>
    </row>
    <row r="35" spans="2:9" x14ac:dyDescent="0.4">
      <c r="B35" s="5"/>
      <c r="D35" t="s">
        <v>159</v>
      </c>
      <c r="I35" s="6"/>
    </row>
    <row r="36" spans="2:9" x14ac:dyDescent="0.4">
      <c r="B36" s="5"/>
      <c r="D36" t="s">
        <v>160</v>
      </c>
      <c r="I36" s="6"/>
    </row>
    <row r="37" spans="2:9" x14ac:dyDescent="0.4">
      <c r="B37" s="166" t="s">
        <v>161</v>
      </c>
      <c r="C37" s="167"/>
      <c r="D37" s="167" t="s">
        <v>162</v>
      </c>
      <c r="E37" s="167"/>
      <c r="F37" s="167"/>
      <c r="G37" s="167"/>
      <c r="H37" s="167"/>
      <c r="I37" s="168"/>
    </row>
    <row r="38" spans="2:9" x14ac:dyDescent="0.4">
      <c r="B38" s="5" t="s">
        <v>192</v>
      </c>
      <c r="D38" t="s">
        <v>195</v>
      </c>
      <c r="I38" s="6"/>
    </row>
    <row r="39" spans="2:9" x14ac:dyDescent="0.4">
      <c r="B39" s="5"/>
      <c r="D39" t="s">
        <v>196</v>
      </c>
      <c r="I39" s="6"/>
    </row>
    <row r="40" spans="2:9" x14ac:dyDescent="0.4">
      <c r="B40" s="5"/>
      <c r="D40" t="s">
        <v>197</v>
      </c>
      <c r="I40" s="6"/>
    </row>
    <row r="41" spans="2:9" ht="15" thickBot="1" x14ac:dyDescent="0.45">
      <c r="B41" s="5"/>
      <c r="I41" s="6"/>
    </row>
    <row r="42" spans="2:9" ht="15" thickBot="1" x14ac:dyDescent="0.45">
      <c r="B42" s="157" t="s">
        <v>139</v>
      </c>
      <c r="C42" s="158"/>
      <c r="D42" s="158"/>
      <c r="E42" s="158"/>
      <c r="F42" s="158"/>
      <c r="G42" s="158"/>
      <c r="H42" s="158"/>
      <c r="I42" s="159"/>
    </row>
    <row r="43" spans="2:9" x14ac:dyDescent="0.4">
      <c r="B43" s="5"/>
      <c r="I43" s="6"/>
    </row>
    <row r="44" spans="2:9" x14ac:dyDescent="0.4">
      <c r="B44" s="5" t="s">
        <v>175</v>
      </c>
      <c r="I44" s="6"/>
    </row>
    <row r="45" spans="2:9" x14ac:dyDescent="0.4">
      <c r="B45" s="169" t="s">
        <v>163</v>
      </c>
      <c r="I45" s="6"/>
    </row>
    <row r="46" spans="2:9" x14ac:dyDescent="0.4">
      <c r="B46" s="5" t="s">
        <v>176</v>
      </c>
      <c r="I46" s="6"/>
    </row>
    <row r="47" spans="2:9" ht="15" thickBot="1" x14ac:dyDescent="0.45">
      <c r="B47" s="5"/>
      <c r="I47" s="6"/>
    </row>
    <row r="48" spans="2:9" ht="15" thickBot="1" x14ac:dyDescent="0.45">
      <c r="B48" s="157" t="s">
        <v>170</v>
      </c>
      <c r="C48" s="158"/>
      <c r="D48" s="158"/>
      <c r="E48" s="158"/>
      <c r="F48" s="158"/>
      <c r="G48" s="158"/>
      <c r="H48" s="158"/>
      <c r="I48" s="159"/>
    </row>
    <row r="49" spans="2:9" x14ac:dyDescent="0.4">
      <c r="B49" s="5"/>
      <c r="I49" s="6"/>
    </row>
    <row r="50" spans="2:9" x14ac:dyDescent="0.4">
      <c r="B50" s="5" t="s">
        <v>171</v>
      </c>
      <c r="I50" s="6"/>
    </row>
    <row r="51" spans="2:9" x14ac:dyDescent="0.4">
      <c r="B51" s="5" t="s">
        <v>172</v>
      </c>
      <c r="I51" s="6"/>
    </row>
    <row r="52" spans="2:9" x14ac:dyDescent="0.4">
      <c r="B52" s="5" t="s">
        <v>173</v>
      </c>
      <c r="I52" s="6"/>
    </row>
    <row r="53" spans="2:9" ht="15" thickBot="1" x14ac:dyDescent="0.45">
      <c r="B53" s="7" t="s">
        <v>174</v>
      </c>
      <c r="C53" s="8"/>
      <c r="D53" s="8"/>
      <c r="E53" s="8"/>
      <c r="F53" s="8"/>
      <c r="G53" s="8"/>
      <c r="H53" s="8"/>
      <c r="I5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5980-6E7A-4CF0-A305-300ADE7FA9BF}">
  <dimension ref="A1:M20"/>
  <sheetViews>
    <sheetView zoomScale="63" workbookViewId="0">
      <selection activeCell="C24" sqref="C24"/>
    </sheetView>
  </sheetViews>
  <sheetFormatPr defaultRowHeight="14.6" x14ac:dyDescent="0.4"/>
  <cols>
    <col min="1" max="1" width="21.921875" customWidth="1"/>
    <col min="3" max="3" width="24.921875" customWidth="1"/>
    <col min="4" max="4" width="11.23046875" customWidth="1"/>
    <col min="5" max="5" width="12.3828125" customWidth="1"/>
    <col min="10" max="10" width="33.4609375" customWidth="1"/>
    <col min="11" max="11" width="13.53515625" customWidth="1"/>
    <col min="13" max="13" width="14.765625" customWidth="1"/>
  </cols>
  <sheetData>
    <row r="1" spans="1:13" ht="39.9" customHeight="1" thickBot="1" x14ac:dyDescent="0.6">
      <c r="A1" s="33" t="s">
        <v>80</v>
      </c>
      <c r="B1" s="19">
        <v>0.5</v>
      </c>
      <c r="C1" s="20" t="s">
        <v>53</v>
      </c>
      <c r="J1" s="21" t="s">
        <v>54</v>
      </c>
      <c r="K1" s="22">
        <v>0.6</v>
      </c>
      <c r="L1" s="23" t="s">
        <v>56</v>
      </c>
      <c r="M1" s="24"/>
    </row>
    <row r="2" spans="1:13" ht="21" thickBot="1" x14ac:dyDescent="0.6">
      <c r="J2" s="25" t="s">
        <v>55</v>
      </c>
      <c r="K2" s="26">
        <v>0.45</v>
      </c>
      <c r="L2" s="12" t="s">
        <v>56</v>
      </c>
      <c r="M2" s="27"/>
    </row>
    <row r="3" spans="1:13" ht="35.25" customHeight="1" x14ac:dyDescent="0.4">
      <c r="K3" s="15"/>
    </row>
    <row r="4" spans="1:13" ht="15" thickBot="1" x14ac:dyDescent="0.45">
      <c r="K4" s="15"/>
    </row>
    <row r="5" spans="1:13" ht="21" thickBot="1" x14ac:dyDescent="0.6">
      <c r="E5" s="10"/>
      <c r="J5" s="28" t="s">
        <v>134</v>
      </c>
      <c r="K5" s="19">
        <v>0.15</v>
      </c>
      <c r="L5" s="29" t="s">
        <v>57</v>
      </c>
      <c r="M5" s="30"/>
    </row>
    <row r="6" spans="1:13" x14ac:dyDescent="0.4">
      <c r="K6" s="15"/>
    </row>
    <row r="7" spans="1:13" x14ac:dyDescent="0.4">
      <c r="K7" s="15"/>
    </row>
    <row r="8" spans="1:13" x14ac:dyDescent="0.4">
      <c r="K8" s="15"/>
    </row>
    <row r="9" spans="1:13" ht="0.9" customHeight="1" thickBot="1" x14ac:dyDescent="0.45">
      <c r="K9" s="15"/>
    </row>
    <row r="10" spans="1:13" ht="35.15" customHeight="1" thickBot="1" x14ac:dyDescent="0.7">
      <c r="A10" s="137"/>
      <c r="B10" s="138" t="s">
        <v>79</v>
      </c>
      <c r="C10" s="58"/>
      <c r="D10" s="29" t="s">
        <v>56</v>
      </c>
      <c r="E10" s="30"/>
      <c r="J10" s="28" t="s">
        <v>58</v>
      </c>
      <c r="K10" s="34"/>
      <c r="L10" s="29" t="s">
        <v>57</v>
      </c>
      <c r="M10" s="30"/>
    </row>
    <row r="11" spans="1:13" ht="20.6" x14ac:dyDescent="0.55000000000000004">
      <c r="A11" s="136" t="s">
        <v>131</v>
      </c>
      <c r="B11" s="134"/>
      <c r="C11" s="134"/>
      <c r="D11" s="134" t="s">
        <v>132</v>
      </c>
      <c r="E11" s="135" t="s">
        <v>133</v>
      </c>
      <c r="F11" s="10"/>
      <c r="G11" s="10"/>
      <c r="H11" s="10"/>
      <c r="I11" s="10"/>
      <c r="J11" s="11">
        <v>1</v>
      </c>
      <c r="K11" s="133">
        <v>150000</v>
      </c>
      <c r="M11" s="6"/>
    </row>
    <row r="12" spans="1:13" ht="20.6" x14ac:dyDescent="0.55000000000000004">
      <c r="A12" s="16">
        <v>0</v>
      </c>
      <c r="B12" s="10"/>
      <c r="C12" s="10"/>
      <c r="D12" s="13">
        <v>0.25</v>
      </c>
      <c r="E12" s="13">
        <f>$D12</f>
        <v>0.25</v>
      </c>
      <c r="F12" s="10"/>
      <c r="G12" s="10"/>
      <c r="H12" s="10"/>
      <c r="I12" s="10"/>
      <c r="J12" s="11">
        <v>2</v>
      </c>
      <c r="K12" s="133">
        <v>275000</v>
      </c>
      <c r="M12" s="6"/>
    </row>
    <row r="13" spans="1:13" ht="20.6" x14ac:dyDescent="0.55000000000000004">
      <c r="A13" s="17">
        <v>25000</v>
      </c>
      <c r="B13" s="10"/>
      <c r="C13" s="10"/>
      <c r="D13" s="13">
        <v>0.33</v>
      </c>
      <c r="E13" s="13">
        <f>$D13-$D12</f>
        <v>8.0000000000000016E-2</v>
      </c>
      <c r="F13" s="10"/>
      <c r="G13" s="10"/>
      <c r="H13" s="10"/>
      <c r="I13" s="10"/>
      <c r="J13" s="11">
        <v>3</v>
      </c>
      <c r="K13" s="133">
        <v>300000</v>
      </c>
      <c r="M13" s="6"/>
    </row>
    <row r="14" spans="1:13" ht="21" thickBot="1" x14ac:dyDescent="0.6">
      <c r="A14" s="17">
        <v>50000</v>
      </c>
      <c r="B14" s="10"/>
      <c r="C14" s="10"/>
      <c r="D14" s="13">
        <v>0.42</v>
      </c>
      <c r="E14" s="13">
        <f>$D14-$D13</f>
        <v>8.9999999999999969E-2</v>
      </c>
      <c r="F14" s="10"/>
      <c r="G14" s="10"/>
      <c r="H14" s="10"/>
      <c r="I14" s="10"/>
      <c r="J14" s="31">
        <v>4</v>
      </c>
      <c r="K14" s="32">
        <v>400000</v>
      </c>
      <c r="L14" s="8"/>
      <c r="M14" s="9"/>
    </row>
    <row r="15" spans="1:13" ht="20.6" x14ac:dyDescent="0.55000000000000004">
      <c r="A15" s="17">
        <v>75000</v>
      </c>
      <c r="B15" s="10"/>
      <c r="C15" s="10"/>
      <c r="D15" s="13">
        <v>0.51</v>
      </c>
      <c r="E15" s="13">
        <f t="shared" ref="E15:E16" si="0">$D15-$D14</f>
        <v>9.0000000000000024E-2</v>
      </c>
      <c r="F15" s="10"/>
      <c r="G15" s="10"/>
      <c r="H15" s="10"/>
      <c r="I15" s="10"/>
      <c r="J15" s="10"/>
      <c r="K15" s="10"/>
    </row>
    <row r="16" spans="1:13" ht="21" thickBot="1" x14ac:dyDescent="0.6">
      <c r="A16" s="18">
        <v>100000</v>
      </c>
      <c r="B16" s="12"/>
      <c r="C16" s="12"/>
      <c r="D16" s="14">
        <v>0.6</v>
      </c>
      <c r="E16" s="14">
        <f t="shared" si="0"/>
        <v>8.9999999999999969E-2</v>
      </c>
      <c r="F16" s="10"/>
      <c r="G16" s="10"/>
      <c r="H16" s="10"/>
      <c r="I16" s="10"/>
      <c r="J16" s="10"/>
      <c r="K16" s="10"/>
    </row>
    <row r="17" spans="1:11" ht="20.6" x14ac:dyDescent="0.5500000000000000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ht="21" thickBot="1" x14ac:dyDescent="0.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ht="21" thickBot="1" x14ac:dyDescent="0.6">
      <c r="A19" s="33" t="s">
        <v>81</v>
      </c>
      <c r="B19" s="51">
        <v>0.05</v>
      </c>
      <c r="C19" s="132" t="s">
        <v>82</v>
      </c>
      <c r="D19" s="10"/>
      <c r="E19" s="10"/>
      <c r="F19" s="10"/>
      <c r="G19" s="10"/>
      <c r="H19" s="10"/>
      <c r="I19" s="10"/>
      <c r="J19" s="10"/>
      <c r="K19" s="10"/>
    </row>
    <row r="20" spans="1:11" ht="20.6" x14ac:dyDescent="0.5500000000000000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8F16-6021-4895-A18E-D22E68C2B96D}">
  <dimension ref="A1:M1201"/>
  <sheetViews>
    <sheetView zoomScale="91" workbookViewId="0">
      <pane ySplit="1" topLeftCell="A2" activePane="bottomLeft" state="frozen"/>
      <selection pane="bottomLeft" sqref="A1:XFD1"/>
    </sheetView>
  </sheetViews>
  <sheetFormatPr defaultRowHeight="14.6" x14ac:dyDescent="0.4"/>
  <cols>
    <col min="1" max="1" width="12.15234375" customWidth="1"/>
    <col min="2" max="2" width="10.921875" customWidth="1"/>
    <col min="3" max="3" width="18" style="36" customWidth="1"/>
    <col min="4" max="4" width="18" customWidth="1"/>
    <col min="5" max="5" width="18" style="35" customWidth="1"/>
    <col min="6" max="6" width="18" style="37" customWidth="1"/>
    <col min="7" max="7" width="18" customWidth="1"/>
    <col min="8" max="8" width="18" style="36" customWidth="1"/>
    <col min="9" max="9" width="18" customWidth="1"/>
    <col min="10" max="10" width="18" style="38" customWidth="1"/>
    <col min="11" max="11" width="18" style="128" customWidth="1"/>
    <col min="12" max="12" width="18" style="35" customWidth="1"/>
    <col min="13" max="13" width="18" customWidth="1"/>
  </cols>
  <sheetData>
    <row r="1" spans="1:13" s="98" customFormat="1" x14ac:dyDescent="0.4">
      <c r="A1" s="98" t="s">
        <v>0</v>
      </c>
      <c r="B1" s="98" t="s">
        <v>1</v>
      </c>
      <c r="C1" s="99" t="s">
        <v>2</v>
      </c>
      <c r="D1" s="98" t="s">
        <v>3</v>
      </c>
      <c r="E1" s="100" t="s">
        <v>59</v>
      </c>
      <c r="F1" s="99" t="s">
        <v>60</v>
      </c>
      <c r="G1" s="98" t="s">
        <v>61</v>
      </c>
      <c r="H1" s="99" t="s">
        <v>62</v>
      </c>
      <c r="I1" s="98" t="s">
        <v>63</v>
      </c>
      <c r="J1" s="101" t="s">
        <v>64</v>
      </c>
      <c r="K1" s="127" t="s">
        <v>96</v>
      </c>
      <c r="L1" s="100" t="s">
        <v>97</v>
      </c>
      <c r="M1" s="98" t="s">
        <v>98</v>
      </c>
    </row>
    <row r="2" spans="1:13" x14ac:dyDescent="0.4">
      <c r="A2" t="s">
        <v>4</v>
      </c>
      <c r="B2">
        <v>4</v>
      </c>
      <c r="C2" s="36">
        <v>56783.25</v>
      </c>
      <c r="D2" s="1">
        <v>44197</v>
      </c>
      <c r="E2" s="35">
        <f t="shared" ref="E2:E65" si="0">_xlfn.XLOOKUP(C2,tier_floor,tier_rate,,-1)</f>
        <v>0.42</v>
      </c>
      <c r="F2" s="37">
        <f t="shared" ref="F2:F65" si="1">C2*margin_rate</f>
        <v>28391.625</v>
      </c>
      <c r="G2" s="37">
        <f t="shared" ref="G2:G65" si="2">F2*E2</f>
        <v>11924.4825</v>
      </c>
      <c r="H2" s="36" cm="1">
        <f t="array" ref="H2">SUMPRODUCT((C2&gt;tier_floor)*((C2-tier_floor)*step)*margin_rate)</f>
        <v>8674.4825000000001</v>
      </c>
      <c r="I2" s="36">
        <f t="shared" ref="I2:I65" si="3">G2-H2</f>
        <v>3250</v>
      </c>
      <c r="J2" s="38">
        <f t="shared" ref="J2:J65" si="4">YEAR(D2)</f>
        <v>2021</v>
      </c>
      <c r="K2" s="128">
        <f>(1+target)^($J2-(MIN(tbl_rep_mon[year])))</f>
        <v>1</v>
      </c>
      <c r="L2" s="35">
        <f t="shared" ref="L2:L65" si="5">_xlfn.XLOOKUP(($C2/$K2),tier_floor,tier_rate,,-1)</f>
        <v>0.42</v>
      </c>
      <c r="M2" s="37">
        <f t="shared" ref="M2:M65" si="6">$F2*$L2</f>
        <v>11924.4825</v>
      </c>
    </row>
    <row r="3" spans="1:13" x14ac:dyDescent="0.4">
      <c r="A3" t="s">
        <v>5</v>
      </c>
      <c r="B3">
        <v>2</v>
      </c>
      <c r="C3" s="36">
        <v>36514.31</v>
      </c>
      <c r="D3" s="1">
        <v>44197</v>
      </c>
      <c r="E3" s="35">
        <f t="shared" si="0"/>
        <v>0.33</v>
      </c>
      <c r="F3" s="37">
        <f t="shared" si="1"/>
        <v>18257.154999999999</v>
      </c>
      <c r="G3" s="37">
        <f t="shared" si="2"/>
        <v>6024.8611499999997</v>
      </c>
      <c r="H3" s="36" cm="1">
        <f t="array" ref="H3">SUMPRODUCT((C3&gt;tier_floor)*((C3-tier_floor)*step)*margin_rate)</f>
        <v>5024.8611499999997</v>
      </c>
      <c r="I3" s="37">
        <f t="shared" si="3"/>
        <v>1000</v>
      </c>
      <c r="J3" s="38">
        <f t="shared" si="4"/>
        <v>2021</v>
      </c>
      <c r="K3" s="128">
        <f>(1+target)^($J3-(MIN(tbl_rep_mon[year])))</f>
        <v>1</v>
      </c>
      <c r="L3" s="35">
        <f t="shared" si="5"/>
        <v>0.33</v>
      </c>
      <c r="M3" s="37">
        <f t="shared" si="6"/>
        <v>6024.8611499999997</v>
      </c>
    </row>
    <row r="4" spans="1:13" x14ac:dyDescent="0.4">
      <c r="A4" t="s">
        <v>6</v>
      </c>
      <c r="B4">
        <v>2</v>
      </c>
      <c r="C4" s="36">
        <v>47767.8</v>
      </c>
      <c r="D4" s="1">
        <v>44197</v>
      </c>
      <c r="E4" s="35">
        <f t="shared" si="0"/>
        <v>0.33</v>
      </c>
      <c r="F4" s="37">
        <f t="shared" si="1"/>
        <v>23883.9</v>
      </c>
      <c r="G4" s="37">
        <f t="shared" si="2"/>
        <v>7881.6870000000008</v>
      </c>
      <c r="H4" s="36" cm="1">
        <f t="array" ref="H4">SUMPRODUCT((C4&gt;tier_floor)*((C4-tier_floor)*step)*margin_rate)</f>
        <v>6881.6870000000008</v>
      </c>
      <c r="I4" s="37">
        <f t="shared" si="3"/>
        <v>1000</v>
      </c>
      <c r="J4" s="38">
        <f t="shared" si="4"/>
        <v>2021</v>
      </c>
      <c r="K4" s="128">
        <f>(1+target)^($J4-(MIN(tbl_rep_mon[year])))</f>
        <v>1</v>
      </c>
      <c r="L4" s="35">
        <f t="shared" si="5"/>
        <v>0.33</v>
      </c>
      <c r="M4" s="37">
        <f t="shared" si="6"/>
        <v>7881.6870000000008</v>
      </c>
    </row>
    <row r="5" spans="1:13" x14ac:dyDescent="0.4">
      <c r="A5" t="s">
        <v>7</v>
      </c>
      <c r="B5">
        <v>4</v>
      </c>
      <c r="C5" s="36">
        <v>37877.29</v>
      </c>
      <c r="D5" s="1">
        <v>44197</v>
      </c>
      <c r="E5" s="35">
        <f t="shared" si="0"/>
        <v>0.33</v>
      </c>
      <c r="F5" s="37">
        <f t="shared" si="1"/>
        <v>18938.645</v>
      </c>
      <c r="G5" s="37">
        <f t="shared" si="2"/>
        <v>6249.7528500000008</v>
      </c>
      <c r="H5" s="36" cm="1">
        <f t="array" ref="H5">SUMPRODUCT((C5&gt;tier_floor)*((C5-tier_floor)*step)*margin_rate)</f>
        <v>5249.7528499999999</v>
      </c>
      <c r="I5" s="37">
        <f t="shared" si="3"/>
        <v>1000.0000000000009</v>
      </c>
      <c r="J5" s="38">
        <f t="shared" si="4"/>
        <v>2021</v>
      </c>
      <c r="K5" s="128">
        <f>(1+target)^($J5-(MIN(tbl_rep_mon[year])))</f>
        <v>1</v>
      </c>
      <c r="L5" s="35">
        <f t="shared" si="5"/>
        <v>0.33</v>
      </c>
      <c r="M5" s="37">
        <f t="shared" si="6"/>
        <v>6249.7528500000008</v>
      </c>
    </row>
    <row r="6" spans="1:13" x14ac:dyDescent="0.4">
      <c r="A6" t="s">
        <v>8</v>
      </c>
      <c r="B6">
        <v>4</v>
      </c>
      <c r="C6" s="36">
        <v>46326.78</v>
      </c>
      <c r="D6" s="1">
        <v>44197</v>
      </c>
      <c r="E6" s="35">
        <f t="shared" si="0"/>
        <v>0.33</v>
      </c>
      <c r="F6" s="37">
        <f t="shared" si="1"/>
        <v>23163.39</v>
      </c>
      <c r="G6" s="37">
        <f t="shared" si="2"/>
        <v>7643.9187000000002</v>
      </c>
      <c r="H6" s="36" cm="1">
        <f t="array" ref="H6">SUMPRODUCT((C6&gt;tier_floor)*((C6-tier_floor)*step)*margin_rate)</f>
        <v>6643.9187000000002</v>
      </c>
      <c r="I6" s="37">
        <f t="shared" si="3"/>
        <v>1000</v>
      </c>
      <c r="J6" s="38">
        <f t="shared" si="4"/>
        <v>2021</v>
      </c>
      <c r="K6" s="128">
        <f>(1+target)^($J6-(MIN(tbl_rep_mon[year])))</f>
        <v>1</v>
      </c>
      <c r="L6" s="35">
        <f t="shared" si="5"/>
        <v>0.33</v>
      </c>
      <c r="M6" s="37">
        <f t="shared" si="6"/>
        <v>7643.9187000000002</v>
      </c>
    </row>
    <row r="7" spans="1:13" x14ac:dyDescent="0.4">
      <c r="A7" t="s">
        <v>9</v>
      </c>
      <c r="B7">
        <v>3</v>
      </c>
      <c r="C7" s="36">
        <v>46295.5</v>
      </c>
      <c r="D7" s="1">
        <v>44197</v>
      </c>
      <c r="E7" s="35">
        <f t="shared" si="0"/>
        <v>0.33</v>
      </c>
      <c r="F7" s="37">
        <f t="shared" si="1"/>
        <v>23147.75</v>
      </c>
      <c r="G7" s="37">
        <f t="shared" si="2"/>
        <v>7638.7575000000006</v>
      </c>
      <c r="H7" s="36" cm="1">
        <f t="array" ref="H7">SUMPRODUCT((C7&gt;tier_floor)*((C7-tier_floor)*step)*margin_rate)</f>
        <v>6638.7574999999997</v>
      </c>
      <c r="I7" s="37">
        <f t="shared" si="3"/>
        <v>1000.0000000000009</v>
      </c>
      <c r="J7" s="38">
        <f t="shared" si="4"/>
        <v>2021</v>
      </c>
      <c r="K7" s="128">
        <f>(1+target)^($J7-(MIN(tbl_rep_mon[year])))</f>
        <v>1</v>
      </c>
      <c r="L7" s="35">
        <f t="shared" si="5"/>
        <v>0.33</v>
      </c>
      <c r="M7" s="37">
        <f t="shared" si="6"/>
        <v>7638.7575000000006</v>
      </c>
    </row>
    <row r="8" spans="1:13" x14ac:dyDescent="0.4">
      <c r="A8" t="s">
        <v>10</v>
      </c>
      <c r="B8">
        <v>3</v>
      </c>
      <c r="C8" s="36">
        <v>70096.429999999993</v>
      </c>
      <c r="D8" s="1">
        <v>44197</v>
      </c>
      <c r="E8" s="35">
        <f t="shared" si="0"/>
        <v>0.42</v>
      </c>
      <c r="F8" s="37">
        <f t="shared" si="1"/>
        <v>35048.214999999997</v>
      </c>
      <c r="G8" s="37">
        <f t="shared" si="2"/>
        <v>14720.250299999998</v>
      </c>
      <c r="H8" s="36" cm="1">
        <f t="array" ref="H8">SUMPRODUCT((C8&gt;tier_floor)*((C8-tier_floor)*step)*margin_rate)</f>
        <v>11470.2503</v>
      </c>
      <c r="I8" s="37">
        <f t="shared" si="3"/>
        <v>3249.9999999999982</v>
      </c>
      <c r="J8" s="38">
        <f t="shared" si="4"/>
        <v>2021</v>
      </c>
      <c r="K8" s="128">
        <f>(1+target)^($J8-(MIN(tbl_rep_mon[year])))</f>
        <v>1</v>
      </c>
      <c r="L8" s="35">
        <f t="shared" si="5"/>
        <v>0.42</v>
      </c>
      <c r="M8" s="37">
        <f t="shared" si="6"/>
        <v>14720.250299999998</v>
      </c>
    </row>
    <row r="9" spans="1:13" x14ac:dyDescent="0.4">
      <c r="A9" t="s">
        <v>11</v>
      </c>
      <c r="B9">
        <v>1</v>
      </c>
      <c r="C9" s="36">
        <v>57392.57</v>
      </c>
      <c r="D9" s="1">
        <v>44197</v>
      </c>
      <c r="E9" s="35">
        <f t="shared" si="0"/>
        <v>0.42</v>
      </c>
      <c r="F9" s="37">
        <f t="shared" si="1"/>
        <v>28696.285</v>
      </c>
      <c r="G9" s="37">
        <f t="shared" si="2"/>
        <v>12052.439699999999</v>
      </c>
      <c r="H9" s="36" cm="1">
        <f t="array" ref="H9">SUMPRODUCT((C9&gt;tier_floor)*((C9-tier_floor)*step)*margin_rate)</f>
        <v>8802.439699999999</v>
      </c>
      <c r="I9" s="37">
        <f t="shared" si="3"/>
        <v>3250</v>
      </c>
      <c r="J9" s="38">
        <f t="shared" si="4"/>
        <v>2021</v>
      </c>
      <c r="K9" s="128">
        <f>(1+target)^($J9-(MIN(tbl_rep_mon[year])))</f>
        <v>1</v>
      </c>
      <c r="L9" s="35">
        <f t="shared" si="5"/>
        <v>0.42</v>
      </c>
      <c r="M9" s="37">
        <f t="shared" si="6"/>
        <v>12052.439699999999</v>
      </c>
    </row>
    <row r="10" spans="1:13" x14ac:dyDescent="0.4">
      <c r="A10" t="s">
        <v>12</v>
      </c>
      <c r="B10">
        <v>2</v>
      </c>
      <c r="C10" s="36">
        <v>56245.62</v>
      </c>
      <c r="D10" s="1">
        <v>44197</v>
      </c>
      <c r="E10" s="35">
        <f t="shared" si="0"/>
        <v>0.42</v>
      </c>
      <c r="F10" s="37">
        <f t="shared" si="1"/>
        <v>28122.81</v>
      </c>
      <c r="G10" s="37">
        <f t="shared" si="2"/>
        <v>11811.5802</v>
      </c>
      <c r="H10" s="36" cm="1">
        <f t="array" ref="H10">SUMPRODUCT((C10&gt;tier_floor)*((C10-tier_floor)*step)*margin_rate)</f>
        <v>8561.5802000000022</v>
      </c>
      <c r="I10" s="37">
        <f t="shared" si="3"/>
        <v>3249.9999999999982</v>
      </c>
      <c r="J10" s="38">
        <f t="shared" si="4"/>
        <v>2021</v>
      </c>
      <c r="K10" s="128">
        <f>(1+target)^($J10-(MIN(tbl_rep_mon[year])))</f>
        <v>1</v>
      </c>
      <c r="L10" s="35">
        <f t="shared" si="5"/>
        <v>0.42</v>
      </c>
      <c r="M10" s="37">
        <f t="shared" si="6"/>
        <v>11811.5802</v>
      </c>
    </row>
    <row r="11" spans="1:13" x14ac:dyDescent="0.4">
      <c r="A11" t="s">
        <v>13</v>
      </c>
      <c r="B11">
        <v>2</v>
      </c>
      <c r="C11" s="36">
        <v>61291.26</v>
      </c>
      <c r="D11" s="1">
        <v>44197</v>
      </c>
      <c r="E11" s="35">
        <f t="shared" si="0"/>
        <v>0.42</v>
      </c>
      <c r="F11" s="37">
        <f t="shared" si="1"/>
        <v>30645.63</v>
      </c>
      <c r="G11" s="37">
        <f t="shared" si="2"/>
        <v>12871.1646</v>
      </c>
      <c r="H11" s="36" cm="1">
        <f t="array" ref="H11">SUMPRODUCT((C11&gt;tier_floor)*((C11-tier_floor)*step)*margin_rate)</f>
        <v>9621.1646000000001</v>
      </c>
      <c r="I11" s="37">
        <f t="shared" si="3"/>
        <v>3250</v>
      </c>
      <c r="J11" s="38">
        <f t="shared" si="4"/>
        <v>2021</v>
      </c>
      <c r="K11" s="128">
        <f>(1+target)^($J11-(MIN(tbl_rep_mon[year])))</f>
        <v>1</v>
      </c>
      <c r="L11" s="35">
        <f t="shared" si="5"/>
        <v>0.42</v>
      </c>
      <c r="M11" s="37">
        <f t="shared" si="6"/>
        <v>12871.1646</v>
      </c>
    </row>
    <row r="12" spans="1:13" x14ac:dyDescent="0.4">
      <c r="A12" t="s">
        <v>14</v>
      </c>
      <c r="B12">
        <v>4</v>
      </c>
      <c r="C12" s="36">
        <v>56554.38</v>
      </c>
      <c r="D12" s="1">
        <v>44197</v>
      </c>
      <c r="E12" s="35">
        <f t="shared" si="0"/>
        <v>0.42</v>
      </c>
      <c r="F12" s="37">
        <f t="shared" si="1"/>
        <v>28277.19</v>
      </c>
      <c r="G12" s="37">
        <f t="shared" si="2"/>
        <v>11876.4198</v>
      </c>
      <c r="H12" s="36" cm="1">
        <f t="array" ref="H12">SUMPRODUCT((C12&gt;tier_floor)*((C12-tier_floor)*step)*margin_rate)</f>
        <v>8626.4197999999997</v>
      </c>
      <c r="I12" s="37">
        <f t="shared" si="3"/>
        <v>3250</v>
      </c>
      <c r="J12" s="38">
        <f t="shared" si="4"/>
        <v>2021</v>
      </c>
      <c r="K12" s="128">
        <f>(1+target)^($J12-(MIN(tbl_rep_mon[year])))</f>
        <v>1</v>
      </c>
      <c r="L12" s="35">
        <f t="shared" si="5"/>
        <v>0.42</v>
      </c>
      <c r="M12" s="37">
        <f t="shared" si="6"/>
        <v>11876.4198</v>
      </c>
    </row>
    <row r="13" spans="1:13" x14ac:dyDescent="0.4">
      <c r="A13" t="s">
        <v>15</v>
      </c>
      <c r="B13">
        <v>3</v>
      </c>
      <c r="C13" s="36">
        <v>61783.9</v>
      </c>
      <c r="D13" s="1">
        <v>44197</v>
      </c>
      <c r="E13" s="35">
        <f t="shared" si="0"/>
        <v>0.42</v>
      </c>
      <c r="F13" s="37">
        <f t="shared" si="1"/>
        <v>30891.95</v>
      </c>
      <c r="G13" s="37">
        <f t="shared" si="2"/>
        <v>12974.619000000001</v>
      </c>
      <c r="H13" s="36" cm="1">
        <f t="array" ref="H13">SUMPRODUCT((C13&gt;tier_floor)*((C13-tier_floor)*step)*margin_rate)</f>
        <v>9724.6190000000006</v>
      </c>
      <c r="I13" s="37">
        <f t="shared" si="3"/>
        <v>3250</v>
      </c>
      <c r="J13" s="38">
        <f t="shared" si="4"/>
        <v>2021</v>
      </c>
      <c r="K13" s="128">
        <f>(1+target)^($J13-(MIN(tbl_rep_mon[year])))</f>
        <v>1</v>
      </c>
      <c r="L13" s="35">
        <f t="shared" si="5"/>
        <v>0.42</v>
      </c>
      <c r="M13" s="37">
        <f t="shared" si="6"/>
        <v>12974.619000000001</v>
      </c>
    </row>
    <row r="14" spans="1:13" x14ac:dyDescent="0.4">
      <c r="A14" t="s">
        <v>16</v>
      </c>
      <c r="B14">
        <v>3</v>
      </c>
      <c r="C14" s="36">
        <v>54550.07</v>
      </c>
      <c r="D14" s="1">
        <v>44197</v>
      </c>
      <c r="E14" s="35">
        <f t="shared" si="0"/>
        <v>0.42</v>
      </c>
      <c r="F14" s="37">
        <f t="shared" si="1"/>
        <v>27275.035</v>
      </c>
      <c r="G14" s="37">
        <f t="shared" si="2"/>
        <v>11455.5147</v>
      </c>
      <c r="H14" s="36" cm="1">
        <f t="array" ref="H14">SUMPRODUCT((C14&gt;tier_floor)*((C14-tier_floor)*step)*margin_rate)</f>
        <v>8205.5146999999997</v>
      </c>
      <c r="I14" s="37">
        <f t="shared" si="3"/>
        <v>3250</v>
      </c>
      <c r="J14" s="38">
        <f t="shared" si="4"/>
        <v>2021</v>
      </c>
      <c r="K14" s="128">
        <f>(1+target)^($J14-(MIN(tbl_rep_mon[year])))</f>
        <v>1</v>
      </c>
      <c r="L14" s="35">
        <f t="shared" si="5"/>
        <v>0.42</v>
      </c>
      <c r="M14" s="37">
        <f t="shared" si="6"/>
        <v>11455.5147</v>
      </c>
    </row>
    <row r="15" spans="1:13" x14ac:dyDescent="0.4">
      <c r="A15" t="s">
        <v>17</v>
      </c>
      <c r="B15">
        <v>2</v>
      </c>
      <c r="C15" s="36">
        <v>42394.71</v>
      </c>
      <c r="D15" s="1">
        <v>44197</v>
      </c>
      <c r="E15" s="35">
        <f t="shared" si="0"/>
        <v>0.33</v>
      </c>
      <c r="F15" s="37">
        <f t="shared" si="1"/>
        <v>21197.355</v>
      </c>
      <c r="G15" s="37">
        <f t="shared" si="2"/>
        <v>6995.1271500000003</v>
      </c>
      <c r="H15" s="36" cm="1">
        <f t="array" ref="H15">SUMPRODUCT((C15&gt;tier_floor)*((C15-tier_floor)*step)*margin_rate)</f>
        <v>5995.1271500000003</v>
      </c>
      <c r="I15" s="37">
        <f t="shared" si="3"/>
        <v>1000</v>
      </c>
      <c r="J15" s="38">
        <f t="shared" si="4"/>
        <v>2021</v>
      </c>
      <c r="K15" s="128">
        <f>(1+target)^($J15-(MIN(tbl_rep_mon[year])))</f>
        <v>1</v>
      </c>
      <c r="L15" s="35">
        <f t="shared" si="5"/>
        <v>0.33</v>
      </c>
      <c r="M15" s="37">
        <f t="shared" si="6"/>
        <v>6995.1271500000003</v>
      </c>
    </row>
    <row r="16" spans="1:13" x14ac:dyDescent="0.4">
      <c r="A16" t="s">
        <v>18</v>
      </c>
      <c r="B16">
        <v>3</v>
      </c>
      <c r="C16" s="36">
        <v>48887.94</v>
      </c>
      <c r="D16" s="1">
        <v>44197</v>
      </c>
      <c r="E16" s="35">
        <f t="shared" si="0"/>
        <v>0.33</v>
      </c>
      <c r="F16" s="37">
        <f t="shared" si="1"/>
        <v>24443.97</v>
      </c>
      <c r="G16" s="37">
        <f t="shared" si="2"/>
        <v>8066.5101000000004</v>
      </c>
      <c r="H16" s="36" cm="1">
        <f t="array" ref="H16">SUMPRODUCT((C16&gt;tier_floor)*((C16-tier_floor)*step)*margin_rate)</f>
        <v>7066.5101000000004</v>
      </c>
      <c r="I16" s="37">
        <f t="shared" si="3"/>
        <v>1000</v>
      </c>
      <c r="J16" s="38">
        <f t="shared" si="4"/>
        <v>2021</v>
      </c>
      <c r="K16" s="128">
        <f>(1+target)^($J16-(MIN(tbl_rep_mon[year])))</f>
        <v>1</v>
      </c>
      <c r="L16" s="35">
        <f t="shared" si="5"/>
        <v>0.33</v>
      </c>
      <c r="M16" s="37">
        <f t="shared" si="6"/>
        <v>8066.5101000000004</v>
      </c>
    </row>
    <row r="17" spans="1:13" x14ac:dyDescent="0.4">
      <c r="A17" t="s">
        <v>19</v>
      </c>
      <c r="B17">
        <v>4</v>
      </c>
      <c r="C17" s="36">
        <v>48776</v>
      </c>
      <c r="D17" s="1">
        <v>44197</v>
      </c>
      <c r="E17" s="35">
        <f t="shared" si="0"/>
        <v>0.33</v>
      </c>
      <c r="F17" s="37">
        <f t="shared" si="1"/>
        <v>24388</v>
      </c>
      <c r="G17" s="37">
        <f t="shared" si="2"/>
        <v>8048.04</v>
      </c>
      <c r="H17" s="36" cm="1">
        <f t="array" ref="H17">SUMPRODUCT((C17&gt;tier_floor)*((C17-tier_floor)*step)*margin_rate)</f>
        <v>7048.04</v>
      </c>
      <c r="I17" s="37">
        <f t="shared" si="3"/>
        <v>1000</v>
      </c>
      <c r="J17" s="38">
        <f t="shared" si="4"/>
        <v>2021</v>
      </c>
      <c r="K17" s="128">
        <f>(1+target)^($J17-(MIN(tbl_rep_mon[year])))</f>
        <v>1</v>
      </c>
      <c r="L17" s="35">
        <f t="shared" si="5"/>
        <v>0.33</v>
      </c>
      <c r="M17" s="37">
        <f t="shared" si="6"/>
        <v>8048.04</v>
      </c>
    </row>
    <row r="18" spans="1:13" x14ac:dyDescent="0.4">
      <c r="A18" t="s">
        <v>20</v>
      </c>
      <c r="B18">
        <v>4</v>
      </c>
      <c r="C18" s="36">
        <v>37328.410000000003</v>
      </c>
      <c r="D18" s="1">
        <v>44197</v>
      </c>
      <c r="E18" s="35">
        <f t="shared" si="0"/>
        <v>0.33</v>
      </c>
      <c r="F18" s="37">
        <f t="shared" si="1"/>
        <v>18664.205000000002</v>
      </c>
      <c r="G18" s="37">
        <f t="shared" si="2"/>
        <v>6159.1876500000008</v>
      </c>
      <c r="H18" s="36" cm="1">
        <f t="array" ref="H18">SUMPRODUCT((C18&gt;tier_floor)*((C18-tier_floor)*step)*margin_rate)</f>
        <v>5159.1876500000008</v>
      </c>
      <c r="I18" s="37">
        <f t="shared" si="3"/>
        <v>1000</v>
      </c>
      <c r="J18" s="38">
        <f t="shared" si="4"/>
        <v>2021</v>
      </c>
      <c r="K18" s="128">
        <f>(1+target)^($J18-(MIN(tbl_rep_mon[year])))</f>
        <v>1</v>
      </c>
      <c r="L18" s="35">
        <f t="shared" si="5"/>
        <v>0.33</v>
      </c>
      <c r="M18" s="37">
        <f t="shared" si="6"/>
        <v>6159.1876500000008</v>
      </c>
    </row>
    <row r="19" spans="1:13" x14ac:dyDescent="0.4">
      <c r="A19" t="s">
        <v>21</v>
      </c>
      <c r="B19">
        <v>4</v>
      </c>
      <c r="C19" s="36">
        <v>40310.879999999997</v>
      </c>
      <c r="D19" s="1">
        <v>44197</v>
      </c>
      <c r="E19" s="35">
        <f t="shared" si="0"/>
        <v>0.33</v>
      </c>
      <c r="F19" s="37">
        <f t="shared" si="1"/>
        <v>20155.439999999999</v>
      </c>
      <c r="G19" s="37">
        <f t="shared" si="2"/>
        <v>6651.2951999999996</v>
      </c>
      <c r="H19" s="36" cm="1">
        <f t="array" ref="H19">SUMPRODUCT((C19&gt;tier_floor)*((C19-tier_floor)*step)*margin_rate)</f>
        <v>5651.2951999999996</v>
      </c>
      <c r="I19" s="37">
        <f t="shared" si="3"/>
        <v>1000</v>
      </c>
      <c r="J19" s="38">
        <f t="shared" si="4"/>
        <v>2021</v>
      </c>
      <c r="K19" s="128">
        <f>(1+target)^($J19-(MIN(tbl_rep_mon[year])))</f>
        <v>1</v>
      </c>
      <c r="L19" s="35">
        <f t="shared" si="5"/>
        <v>0.33</v>
      </c>
      <c r="M19" s="37">
        <f t="shared" si="6"/>
        <v>6651.2951999999996</v>
      </c>
    </row>
    <row r="20" spans="1:13" x14ac:dyDescent="0.4">
      <c r="A20" t="s">
        <v>22</v>
      </c>
      <c r="B20">
        <v>4</v>
      </c>
      <c r="C20" s="36">
        <v>51139.14</v>
      </c>
      <c r="D20" s="1">
        <v>44197</v>
      </c>
      <c r="E20" s="35">
        <f t="shared" si="0"/>
        <v>0.42</v>
      </c>
      <c r="F20" s="37">
        <f t="shared" si="1"/>
        <v>25569.57</v>
      </c>
      <c r="G20" s="37">
        <f t="shared" si="2"/>
        <v>10739.2194</v>
      </c>
      <c r="H20" s="36" cm="1">
        <f t="array" ref="H20">SUMPRODUCT((C20&gt;tier_floor)*((C20-tier_floor)*step)*margin_rate)</f>
        <v>7489.2194</v>
      </c>
      <c r="I20" s="37">
        <f t="shared" si="3"/>
        <v>3250</v>
      </c>
      <c r="J20" s="38">
        <f t="shared" si="4"/>
        <v>2021</v>
      </c>
      <c r="K20" s="128">
        <f>(1+target)^($J20-(MIN(tbl_rep_mon[year])))</f>
        <v>1</v>
      </c>
      <c r="L20" s="35">
        <f t="shared" si="5"/>
        <v>0.42</v>
      </c>
      <c r="M20" s="37">
        <f t="shared" si="6"/>
        <v>10739.2194</v>
      </c>
    </row>
    <row r="21" spans="1:13" x14ac:dyDescent="0.4">
      <c r="A21" t="s">
        <v>23</v>
      </c>
      <c r="B21">
        <v>1</v>
      </c>
      <c r="C21" s="36">
        <v>80859.81</v>
      </c>
      <c r="D21" s="1">
        <v>44197</v>
      </c>
      <c r="E21" s="35">
        <f t="shared" si="0"/>
        <v>0.51</v>
      </c>
      <c r="F21" s="37">
        <f t="shared" si="1"/>
        <v>40429.904999999999</v>
      </c>
      <c r="G21" s="37">
        <f t="shared" si="2"/>
        <v>20619.251550000001</v>
      </c>
      <c r="H21" s="36" cm="1">
        <f t="array" ref="H21">SUMPRODUCT((C21&gt;tier_floor)*((C21-tier_floor)*step)*margin_rate)</f>
        <v>13994.251549999999</v>
      </c>
      <c r="I21" s="37">
        <f t="shared" si="3"/>
        <v>6625.0000000000018</v>
      </c>
      <c r="J21" s="38">
        <f t="shared" si="4"/>
        <v>2021</v>
      </c>
      <c r="K21" s="128">
        <f>(1+target)^($J21-(MIN(tbl_rep_mon[year])))</f>
        <v>1</v>
      </c>
      <c r="L21" s="35">
        <f t="shared" si="5"/>
        <v>0.51</v>
      </c>
      <c r="M21" s="37">
        <f t="shared" si="6"/>
        <v>20619.251550000001</v>
      </c>
    </row>
    <row r="22" spans="1:13" x14ac:dyDescent="0.4">
      <c r="A22" t="s">
        <v>4</v>
      </c>
      <c r="B22">
        <v>4</v>
      </c>
      <c r="C22" s="36">
        <v>55341.14</v>
      </c>
      <c r="D22" s="1">
        <v>44228</v>
      </c>
      <c r="E22" s="35">
        <f t="shared" si="0"/>
        <v>0.42</v>
      </c>
      <c r="F22" s="37">
        <f t="shared" si="1"/>
        <v>27670.57</v>
      </c>
      <c r="G22" s="37">
        <f t="shared" si="2"/>
        <v>11621.6394</v>
      </c>
      <c r="H22" s="36" cm="1">
        <f t="array" ref="H22">SUMPRODUCT((C22&gt;tier_floor)*((C22-tier_floor)*step)*margin_rate)</f>
        <v>8371.6394</v>
      </c>
      <c r="I22" s="37">
        <f t="shared" si="3"/>
        <v>3250</v>
      </c>
      <c r="J22" s="38">
        <f t="shared" si="4"/>
        <v>2021</v>
      </c>
      <c r="K22" s="128">
        <f>(1+target)^($J22-(MIN(tbl_rep_mon[year])))</f>
        <v>1</v>
      </c>
      <c r="L22" s="35">
        <f t="shared" si="5"/>
        <v>0.42</v>
      </c>
      <c r="M22" s="37">
        <f t="shared" si="6"/>
        <v>11621.6394</v>
      </c>
    </row>
    <row r="23" spans="1:13" x14ac:dyDescent="0.4">
      <c r="A23" t="s">
        <v>5</v>
      </c>
      <c r="B23">
        <v>2</v>
      </c>
      <c r="C23" s="36">
        <v>43926.79</v>
      </c>
      <c r="D23" s="1">
        <v>44228</v>
      </c>
      <c r="E23" s="35">
        <f t="shared" si="0"/>
        <v>0.33</v>
      </c>
      <c r="F23" s="37">
        <f t="shared" si="1"/>
        <v>21963.395</v>
      </c>
      <c r="G23" s="37">
        <f t="shared" si="2"/>
        <v>7247.9203500000003</v>
      </c>
      <c r="H23" s="36" cm="1">
        <f t="array" ref="H23">SUMPRODUCT((C23&gt;tier_floor)*((C23-tier_floor)*step)*margin_rate)</f>
        <v>6247.9203500000003</v>
      </c>
      <c r="I23" s="37">
        <f t="shared" si="3"/>
        <v>1000</v>
      </c>
      <c r="J23" s="38">
        <f t="shared" si="4"/>
        <v>2021</v>
      </c>
      <c r="K23" s="128">
        <f>(1+target)^($J23-(MIN(tbl_rep_mon[year])))</f>
        <v>1</v>
      </c>
      <c r="L23" s="35">
        <f t="shared" si="5"/>
        <v>0.33</v>
      </c>
      <c r="M23" s="37">
        <f t="shared" si="6"/>
        <v>7247.9203500000003</v>
      </c>
    </row>
    <row r="24" spans="1:13" x14ac:dyDescent="0.4">
      <c r="A24" t="s">
        <v>6</v>
      </c>
      <c r="B24">
        <v>2</v>
      </c>
      <c r="C24" s="36">
        <v>52064.21</v>
      </c>
      <c r="D24" s="1">
        <v>44228</v>
      </c>
      <c r="E24" s="35">
        <f t="shared" si="0"/>
        <v>0.42</v>
      </c>
      <c r="F24" s="37">
        <f t="shared" si="1"/>
        <v>26032.105</v>
      </c>
      <c r="G24" s="37">
        <f t="shared" si="2"/>
        <v>10933.4841</v>
      </c>
      <c r="H24" s="36" cm="1">
        <f t="array" ref="H24">SUMPRODUCT((C24&gt;tier_floor)*((C24-tier_floor)*step)*margin_rate)</f>
        <v>7683.4840999999997</v>
      </c>
      <c r="I24" s="37">
        <f t="shared" si="3"/>
        <v>3250</v>
      </c>
      <c r="J24" s="38">
        <f t="shared" si="4"/>
        <v>2021</v>
      </c>
      <c r="K24" s="128">
        <f>(1+target)^($J24-(MIN(tbl_rep_mon[year])))</f>
        <v>1</v>
      </c>
      <c r="L24" s="35">
        <f t="shared" si="5"/>
        <v>0.42</v>
      </c>
      <c r="M24" s="37">
        <f t="shared" si="6"/>
        <v>10933.4841</v>
      </c>
    </row>
    <row r="25" spans="1:13" x14ac:dyDescent="0.4">
      <c r="A25" t="s">
        <v>7</v>
      </c>
      <c r="B25">
        <v>4</v>
      </c>
      <c r="C25" s="36">
        <v>50343.19</v>
      </c>
      <c r="D25" s="1">
        <v>44228</v>
      </c>
      <c r="E25" s="35">
        <f t="shared" si="0"/>
        <v>0.42</v>
      </c>
      <c r="F25" s="37">
        <f t="shared" si="1"/>
        <v>25171.595000000001</v>
      </c>
      <c r="G25" s="37">
        <f t="shared" si="2"/>
        <v>10572.0699</v>
      </c>
      <c r="H25" s="36" cm="1">
        <f t="array" ref="H25">SUMPRODUCT((C25&gt;tier_floor)*((C25-tier_floor)*step)*margin_rate)</f>
        <v>7322.0699000000004</v>
      </c>
      <c r="I25" s="37">
        <f t="shared" si="3"/>
        <v>3250</v>
      </c>
      <c r="J25" s="38">
        <f t="shared" si="4"/>
        <v>2021</v>
      </c>
      <c r="K25" s="128">
        <f>(1+target)^($J25-(MIN(tbl_rep_mon[year])))</f>
        <v>1</v>
      </c>
      <c r="L25" s="35">
        <f t="shared" si="5"/>
        <v>0.42</v>
      </c>
      <c r="M25" s="37">
        <f t="shared" si="6"/>
        <v>10572.0699</v>
      </c>
    </row>
    <row r="26" spans="1:13" x14ac:dyDescent="0.4">
      <c r="A26" t="s">
        <v>8</v>
      </c>
      <c r="B26">
        <v>4</v>
      </c>
      <c r="C26" s="36">
        <v>56621.51</v>
      </c>
      <c r="D26" s="1">
        <v>44228</v>
      </c>
      <c r="E26" s="35">
        <f t="shared" si="0"/>
        <v>0.42</v>
      </c>
      <c r="F26" s="37">
        <f t="shared" si="1"/>
        <v>28310.755000000001</v>
      </c>
      <c r="G26" s="37">
        <f t="shared" si="2"/>
        <v>11890.517099999999</v>
      </c>
      <c r="H26" s="36" cm="1">
        <f t="array" ref="H26">SUMPRODUCT((C26&gt;tier_floor)*((C26-tier_floor)*step)*margin_rate)</f>
        <v>8640.5171000000009</v>
      </c>
      <c r="I26" s="37">
        <f t="shared" si="3"/>
        <v>3249.9999999999982</v>
      </c>
      <c r="J26" s="38">
        <f t="shared" si="4"/>
        <v>2021</v>
      </c>
      <c r="K26" s="128">
        <f>(1+target)^($J26-(MIN(tbl_rep_mon[year])))</f>
        <v>1</v>
      </c>
      <c r="L26" s="35">
        <f t="shared" si="5"/>
        <v>0.42</v>
      </c>
      <c r="M26" s="37">
        <f t="shared" si="6"/>
        <v>11890.517099999999</v>
      </c>
    </row>
    <row r="27" spans="1:13" x14ac:dyDescent="0.4">
      <c r="A27" t="s">
        <v>10</v>
      </c>
      <c r="B27">
        <v>3</v>
      </c>
      <c r="C27" s="36">
        <v>83432.88</v>
      </c>
      <c r="D27" s="1">
        <v>44228</v>
      </c>
      <c r="E27" s="35">
        <f t="shared" si="0"/>
        <v>0.51</v>
      </c>
      <c r="F27" s="37">
        <f t="shared" si="1"/>
        <v>41716.44</v>
      </c>
      <c r="G27" s="37">
        <f t="shared" si="2"/>
        <v>21275.384400000003</v>
      </c>
      <c r="H27" s="36" cm="1">
        <f t="array" ref="H27">SUMPRODUCT((C27&gt;tier_floor)*((C27-tier_floor)*step)*margin_rate)</f>
        <v>14650.384400000001</v>
      </c>
      <c r="I27" s="37">
        <f t="shared" si="3"/>
        <v>6625.0000000000018</v>
      </c>
      <c r="J27" s="38">
        <f t="shared" si="4"/>
        <v>2021</v>
      </c>
      <c r="K27" s="128">
        <f>(1+target)^($J27-(MIN(tbl_rep_mon[year])))</f>
        <v>1</v>
      </c>
      <c r="L27" s="35">
        <f t="shared" si="5"/>
        <v>0.51</v>
      </c>
      <c r="M27" s="37">
        <f t="shared" si="6"/>
        <v>21275.384400000003</v>
      </c>
    </row>
    <row r="28" spans="1:13" x14ac:dyDescent="0.4">
      <c r="A28" t="s">
        <v>11</v>
      </c>
      <c r="B28">
        <v>1</v>
      </c>
      <c r="C28" s="36">
        <v>58368.75</v>
      </c>
      <c r="D28" s="1">
        <v>44228</v>
      </c>
      <c r="E28" s="35">
        <f t="shared" si="0"/>
        <v>0.42</v>
      </c>
      <c r="F28" s="37">
        <f t="shared" si="1"/>
        <v>29184.375</v>
      </c>
      <c r="G28" s="37">
        <f t="shared" si="2"/>
        <v>12257.4375</v>
      </c>
      <c r="H28" s="36" cm="1">
        <f t="array" ref="H28">SUMPRODUCT((C28&gt;tier_floor)*((C28-tier_floor)*step)*margin_rate)</f>
        <v>9007.4375</v>
      </c>
      <c r="I28" s="37">
        <f t="shared" si="3"/>
        <v>3250</v>
      </c>
      <c r="J28" s="38">
        <f t="shared" si="4"/>
        <v>2021</v>
      </c>
      <c r="K28" s="128">
        <f>(1+target)^($J28-(MIN(tbl_rep_mon[year])))</f>
        <v>1</v>
      </c>
      <c r="L28" s="35">
        <f t="shared" si="5"/>
        <v>0.42</v>
      </c>
      <c r="M28" s="37">
        <f t="shared" si="6"/>
        <v>12257.4375</v>
      </c>
    </row>
    <row r="29" spans="1:13" x14ac:dyDescent="0.4">
      <c r="A29" t="s">
        <v>12</v>
      </c>
      <c r="B29">
        <v>2</v>
      </c>
      <c r="C29" s="36">
        <v>50027.23</v>
      </c>
      <c r="D29" s="1">
        <v>44228</v>
      </c>
      <c r="E29" s="35">
        <f t="shared" si="0"/>
        <v>0.42</v>
      </c>
      <c r="F29" s="37">
        <f t="shared" si="1"/>
        <v>25013.615000000002</v>
      </c>
      <c r="G29" s="37">
        <f t="shared" si="2"/>
        <v>10505.7183</v>
      </c>
      <c r="H29" s="36" cm="1">
        <f t="array" ref="H29">SUMPRODUCT((C29&gt;tier_floor)*((C29-tier_floor)*step)*margin_rate)</f>
        <v>7255.7183000000005</v>
      </c>
      <c r="I29" s="37">
        <f t="shared" si="3"/>
        <v>3250</v>
      </c>
      <c r="J29" s="38">
        <f t="shared" si="4"/>
        <v>2021</v>
      </c>
      <c r="K29" s="128">
        <f>(1+target)^($J29-(MIN(tbl_rep_mon[year])))</f>
        <v>1</v>
      </c>
      <c r="L29" s="35">
        <f t="shared" si="5"/>
        <v>0.42</v>
      </c>
      <c r="M29" s="37">
        <f t="shared" si="6"/>
        <v>10505.7183</v>
      </c>
    </row>
    <row r="30" spans="1:13" x14ac:dyDescent="0.4">
      <c r="A30" t="s">
        <v>13</v>
      </c>
      <c r="B30">
        <v>2</v>
      </c>
      <c r="C30" s="36">
        <v>53816.6</v>
      </c>
      <c r="D30" s="1">
        <v>44228</v>
      </c>
      <c r="E30" s="35">
        <f t="shared" si="0"/>
        <v>0.42</v>
      </c>
      <c r="F30" s="37">
        <f t="shared" si="1"/>
        <v>26908.3</v>
      </c>
      <c r="G30" s="37">
        <f t="shared" si="2"/>
        <v>11301.485999999999</v>
      </c>
      <c r="H30" s="36" cm="1">
        <f t="array" ref="H30">SUMPRODUCT((C30&gt;tier_floor)*((C30-tier_floor)*step)*margin_rate)</f>
        <v>8051.4859999999999</v>
      </c>
      <c r="I30" s="37">
        <f t="shared" si="3"/>
        <v>3249.9999999999991</v>
      </c>
      <c r="J30" s="38">
        <f t="shared" si="4"/>
        <v>2021</v>
      </c>
      <c r="K30" s="128">
        <f>(1+target)^($J30-(MIN(tbl_rep_mon[year])))</f>
        <v>1</v>
      </c>
      <c r="L30" s="35">
        <f t="shared" si="5"/>
        <v>0.42</v>
      </c>
      <c r="M30" s="37">
        <f t="shared" si="6"/>
        <v>11301.485999999999</v>
      </c>
    </row>
    <row r="31" spans="1:13" x14ac:dyDescent="0.4">
      <c r="A31" t="s">
        <v>14</v>
      </c>
      <c r="B31">
        <v>4</v>
      </c>
      <c r="C31" s="36">
        <v>41611.97</v>
      </c>
      <c r="D31" s="1">
        <v>44228</v>
      </c>
      <c r="E31" s="35">
        <f t="shared" si="0"/>
        <v>0.33</v>
      </c>
      <c r="F31" s="37">
        <f t="shared" si="1"/>
        <v>20805.985000000001</v>
      </c>
      <c r="G31" s="37">
        <f t="shared" si="2"/>
        <v>6865.9750500000009</v>
      </c>
      <c r="H31" s="36" cm="1">
        <f t="array" ref="H31">SUMPRODUCT((C31&gt;tier_floor)*((C31-tier_floor)*step)*margin_rate)</f>
        <v>5865.97505</v>
      </c>
      <c r="I31" s="37">
        <f t="shared" si="3"/>
        <v>1000.0000000000009</v>
      </c>
      <c r="J31" s="38">
        <f t="shared" si="4"/>
        <v>2021</v>
      </c>
      <c r="K31" s="128">
        <f>(1+target)^($J31-(MIN(tbl_rep_mon[year])))</f>
        <v>1</v>
      </c>
      <c r="L31" s="35">
        <f t="shared" si="5"/>
        <v>0.33</v>
      </c>
      <c r="M31" s="37">
        <f t="shared" si="6"/>
        <v>6865.9750500000009</v>
      </c>
    </row>
    <row r="32" spans="1:13" x14ac:dyDescent="0.4">
      <c r="A32" t="s">
        <v>15</v>
      </c>
      <c r="B32">
        <v>3</v>
      </c>
      <c r="C32" s="36">
        <v>56599.33</v>
      </c>
      <c r="D32" s="1">
        <v>44228</v>
      </c>
      <c r="E32" s="35">
        <f t="shared" si="0"/>
        <v>0.42</v>
      </c>
      <c r="F32" s="37">
        <f t="shared" si="1"/>
        <v>28299.665000000001</v>
      </c>
      <c r="G32" s="37">
        <f t="shared" si="2"/>
        <v>11885.8593</v>
      </c>
      <c r="H32" s="36" cm="1">
        <f t="array" ref="H32">SUMPRODUCT((C32&gt;tier_floor)*((C32-tier_floor)*step)*margin_rate)</f>
        <v>8635.8593000000001</v>
      </c>
      <c r="I32" s="37">
        <f t="shared" si="3"/>
        <v>3250</v>
      </c>
      <c r="J32" s="38">
        <f t="shared" si="4"/>
        <v>2021</v>
      </c>
      <c r="K32" s="128">
        <f>(1+target)^($J32-(MIN(tbl_rep_mon[year])))</f>
        <v>1</v>
      </c>
      <c r="L32" s="35">
        <f t="shared" si="5"/>
        <v>0.42</v>
      </c>
      <c r="M32" s="37">
        <f t="shared" si="6"/>
        <v>11885.8593</v>
      </c>
    </row>
    <row r="33" spans="1:13" x14ac:dyDescent="0.4">
      <c r="A33" t="s">
        <v>16</v>
      </c>
      <c r="B33">
        <v>3</v>
      </c>
      <c r="C33" s="36">
        <v>80916.62</v>
      </c>
      <c r="D33" s="1">
        <v>44228</v>
      </c>
      <c r="E33" s="35">
        <f t="shared" si="0"/>
        <v>0.51</v>
      </c>
      <c r="F33" s="37">
        <f t="shared" si="1"/>
        <v>40458.31</v>
      </c>
      <c r="G33" s="37">
        <f t="shared" si="2"/>
        <v>20633.738099999999</v>
      </c>
      <c r="H33" s="36" cm="1">
        <f t="array" ref="H33">SUMPRODUCT((C33&gt;tier_floor)*((C33-tier_floor)*step)*margin_rate)</f>
        <v>14008.7381</v>
      </c>
      <c r="I33" s="37">
        <f t="shared" si="3"/>
        <v>6624.9999999999982</v>
      </c>
      <c r="J33" s="38">
        <f t="shared" si="4"/>
        <v>2021</v>
      </c>
      <c r="K33" s="128">
        <f>(1+target)^($J33-(MIN(tbl_rep_mon[year])))</f>
        <v>1</v>
      </c>
      <c r="L33" s="35">
        <f t="shared" si="5"/>
        <v>0.51</v>
      </c>
      <c r="M33" s="37">
        <f t="shared" si="6"/>
        <v>20633.738099999999</v>
      </c>
    </row>
    <row r="34" spans="1:13" x14ac:dyDescent="0.4">
      <c r="A34" t="s">
        <v>17</v>
      </c>
      <c r="B34">
        <v>2</v>
      </c>
      <c r="C34" s="36">
        <v>44494.07</v>
      </c>
      <c r="D34" s="1">
        <v>44228</v>
      </c>
      <c r="E34" s="35">
        <f t="shared" si="0"/>
        <v>0.33</v>
      </c>
      <c r="F34" s="37">
        <f t="shared" si="1"/>
        <v>22247.035</v>
      </c>
      <c r="G34" s="37">
        <f t="shared" si="2"/>
        <v>7341.5215500000004</v>
      </c>
      <c r="H34" s="36" cm="1">
        <f t="array" ref="H34">SUMPRODUCT((C34&gt;tier_floor)*((C34-tier_floor)*step)*margin_rate)</f>
        <v>6341.5215500000004</v>
      </c>
      <c r="I34" s="37">
        <f t="shared" si="3"/>
        <v>1000</v>
      </c>
      <c r="J34" s="38">
        <f t="shared" si="4"/>
        <v>2021</v>
      </c>
      <c r="K34" s="128">
        <f>(1+target)^($J34-(MIN(tbl_rep_mon[year])))</f>
        <v>1</v>
      </c>
      <c r="L34" s="35">
        <f t="shared" si="5"/>
        <v>0.33</v>
      </c>
      <c r="M34" s="37">
        <f t="shared" si="6"/>
        <v>7341.5215500000004</v>
      </c>
    </row>
    <row r="35" spans="1:13" x14ac:dyDescent="0.4">
      <c r="A35" t="s">
        <v>18</v>
      </c>
      <c r="B35">
        <v>3</v>
      </c>
      <c r="C35" s="36">
        <v>71808.350000000006</v>
      </c>
      <c r="D35" s="1">
        <v>44228</v>
      </c>
      <c r="E35" s="35">
        <f t="shared" si="0"/>
        <v>0.42</v>
      </c>
      <c r="F35" s="37">
        <f t="shared" si="1"/>
        <v>35904.175000000003</v>
      </c>
      <c r="G35" s="37">
        <f t="shared" si="2"/>
        <v>15079.753500000001</v>
      </c>
      <c r="H35" s="36" cm="1">
        <f t="array" ref="H35">SUMPRODUCT((C35&gt;tier_floor)*((C35-tier_floor)*step)*margin_rate)</f>
        <v>11829.753500000001</v>
      </c>
      <c r="I35" s="37">
        <f t="shared" si="3"/>
        <v>3250</v>
      </c>
      <c r="J35" s="38">
        <f t="shared" si="4"/>
        <v>2021</v>
      </c>
      <c r="K35" s="128">
        <f>(1+target)^($J35-(MIN(tbl_rep_mon[year])))</f>
        <v>1</v>
      </c>
      <c r="L35" s="35">
        <f t="shared" si="5"/>
        <v>0.42</v>
      </c>
      <c r="M35" s="37">
        <f t="shared" si="6"/>
        <v>15079.753500000001</v>
      </c>
    </row>
    <row r="36" spans="1:13" x14ac:dyDescent="0.4">
      <c r="A36" t="s">
        <v>19</v>
      </c>
      <c r="B36">
        <v>4</v>
      </c>
      <c r="C36" s="36">
        <v>50001.86</v>
      </c>
      <c r="D36" s="1">
        <v>44228</v>
      </c>
      <c r="E36" s="35">
        <f t="shared" si="0"/>
        <v>0.42</v>
      </c>
      <c r="F36" s="37">
        <f t="shared" si="1"/>
        <v>25000.93</v>
      </c>
      <c r="G36" s="37">
        <f t="shared" si="2"/>
        <v>10500.390600000001</v>
      </c>
      <c r="H36" s="36" cm="1">
        <f t="array" ref="H36">SUMPRODUCT((C36&gt;tier_floor)*((C36-tier_floor)*step)*margin_rate)</f>
        <v>7250.3906000000006</v>
      </c>
      <c r="I36" s="37">
        <f t="shared" si="3"/>
        <v>3250</v>
      </c>
      <c r="J36" s="38">
        <f t="shared" si="4"/>
        <v>2021</v>
      </c>
      <c r="K36" s="128">
        <f>(1+target)^($J36-(MIN(tbl_rep_mon[year])))</f>
        <v>1</v>
      </c>
      <c r="L36" s="35">
        <f t="shared" si="5"/>
        <v>0.42</v>
      </c>
      <c r="M36" s="37">
        <f t="shared" si="6"/>
        <v>10500.390600000001</v>
      </c>
    </row>
    <row r="37" spans="1:13" x14ac:dyDescent="0.4">
      <c r="A37" t="s">
        <v>20</v>
      </c>
      <c r="B37">
        <v>4</v>
      </c>
      <c r="C37" s="36">
        <v>38067.25</v>
      </c>
      <c r="D37" s="1">
        <v>44228</v>
      </c>
      <c r="E37" s="35">
        <f t="shared" si="0"/>
        <v>0.33</v>
      </c>
      <c r="F37" s="37">
        <f t="shared" si="1"/>
        <v>19033.625</v>
      </c>
      <c r="G37" s="37">
        <f t="shared" si="2"/>
        <v>6281.0962500000005</v>
      </c>
      <c r="H37" s="36" cm="1">
        <f t="array" ref="H37">SUMPRODUCT((C37&gt;tier_floor)*((C37-tier_floor)*step)*margin_rate)</f>
        <v>5281.0962500000005</v>
      </c>
      <c r="I37" s="37">
        <f t="shared" si="3"/>
        <v>1000</v>
      </c>
      <c r="J37" s="38">
        <f t="shared" si="4"/>
        <v>2021</v>
      </c>
      <c r="K37" s="128">
        <f>(1+target)^($J37-(MIN(tbl_rep_mon[year])))</f>
        <v>1</v>
      </c>
      <c r="L37" s="35">
        <f t="shared" si="5"/>
        <v>0.33</v>
      </c>
      <c r="M37" s="37">
        <f t="shared" si="6"/>
        <v>6281.0962500000005</v>
      </c>
    </row>
    <row r="38" spans="1:13" x14ac:dyDescent="0.4">
      <c r="A38" t="s">
        <v>21</v>
      </c>
      <c r="B38">
        <v>4</v>
      </c>
      <c r="C38" s="36">
        <v>32224.51</v>
      </c>
      <c r="D38" s="1">
        <v>44228</v>
      </c>
      <c r="E38" s="35">
        <f t="shared" si="0"/>
        <v>0.33</v>
      </c>
      <c r="F38" s="37">
        <f t="shared" si="1"/>
        <v>16112.254999999999</v>
      </c>
      <c r="G38" s="37">
        <f t="shared" si="2"/>
        <v>5317.0441499999997</v>
      </c>
      <c r="H38" s="36" cm="1">
        <f t="array" ref="H38">SUMPRODUCT((C38&gt;tier_floor)*((C38-tier_floor)*step)*margin_rate)</f>
        <v>4317.0441499999997</v>
      </c>
      <c r="I38" s="37">
        <f t="shared" si="3"/>
        <v>1000</v>
      </c>
      <c r="J38" s="38">
        <f t="shared" si="4"/>
        <v>2021</v>
      </c>
      <c r="K38" s="128">
        <f>(1+target)^($J38-(MIN(tbl_rep_mon[year])))</f>
        <v>1</v>
      </c>
      <c r="L38" s="35">
        <f t="shared" si="5"/>
        <v>0.33</v>
      </c>
      <c r="M38" s="37">
        <f t="shared" si="6"/>
        <v>5317.0441499999997</v>
      </c>
    </row>
    <row r="39" spans="1:13" x14ac:dyDescent="0.4">
      <c r="A39" t="s">
        <v>22</v>
      </c>
      <c r="B39">
        <v>4</v>
      </c>
      <c r="C39" s="36">
        <v>43881.16</v>
      </c>
      <c r="D39" s="1">
        <v>44228</v>
      </c>
      <c r="E39" s="35">
        <f t="shared" si="0"/>
        <v>0.33</v>
      </c>
      <c r="F39" s="37">
        <f t="shared" si="1"/>
        <v>21940.58</v>
      </c>
      <c r="G39" s="37">
        <f t="shared" si="2"/>
        <v>7240.3914000000013</v>
      </c>
      <c r="H39" s="36" cm="1">
        <f t="array" ref="H39">SUMPRODUCT((C39&gt;tier_floor)*((C39-tier_floor)*step)*margin_rate)</f>
        <v>6240.3914000000004</v>
      </c>
      <c r="I39" s="37">
        <f t="shared" si="3"/>
        <v>1000.0000000000009</v>
      </c>
      <c r="J39" s="38">
        <f t="shared" si="4"/>
        <v>2021</v>
      </c>
      <c r="K39" s="128">
        <f>(1+target)^($J39-(MIN(tbl_rep_mon[year])))</f>
        <v>1</v>
      </c>
      <c r="L39" s="35">
        <f t="shared" si="5"/>
        <v>0.33</v>
      </c>
      <c r="M39" s="37">
        <f t="shared" si="6"/>
        <v>7240.3914000000013</v>
      </c>
    </row>
    <row r="40" spans="1:13" x14ac:dyDescent="0.4">
      <c r="A40" t="s">
        <v>23</v>
      </c>
      <c r="B40">
        <v>1</v>
      </c>
      <c r="C40" s="36">
        <v>83074.81</v>
      </c>
      <c r="D40" s="1">
        <v>44228</v>
      </c>
      <c r="E40" s="35">
        <f t="shared" si="0"/>
        <v>0.51</v>
      </c>
      <c r="F40" s="37">
        <f t="shared" si="1"/>
        <v>41537.404999999999</v>
      </c>
      <c r="G40" s="37">
        <f t="shared" si="2"/>
        <v>21184.076550000002</v>
      </c>
      <c r="H40" s="36" cm="1">
        <f t="array" ref="H40">SUMPRODUCT((C40&gt;tier_floor)*((C40-tier_floor)*step)*margin_rate)</f>
        <v>14559.07655</v>
      </c>
      <c r="I40" s="37">
        <f t="shared" si="3"/>
        <v>6625.0000000000018</v>
      </c>
      <c r="J40" s="38">
        <f t="shared" si="4"/>
        <v>2021</v>
      </c>
      <c r="K40" s="128">
        <f>(1+target)^($J40-(MIN(tbl_rep_mon[year])))</f>
        <v>1</v>
      </c>
      <c r="L40" s="35">
        <f t="shared" si="5"/>
        <v>0.51</v>
      </c>
      <c r="M40" s="37">
        <f t="shared" si="6"/>
        <v>21184.076550000002</v>
      </c>
    </row>
    <row r="41" spans="1:13" x14ac:dyDescent="0.4">
      <c r="A41" t="s">
        <v>24</v>
      </c>
      <c r="B41">
        <v>3</v>
      </c>
      <c r="C41" s="36">
        <v>19107.45</v>
      </c>
      <c r="D41" s="1">
        <v>44228</v>
      </c>
      <c r="E41" s="35">
        <f t="shared" si="0"/>
        <v>0.25</v>
      </c>
      <c r="F41" s="37">
        <f t="shared" si="1"/>
        <v>9553.7250000000004</v>
      </c>
      <c r="G41" s="37">
        <f t="shared" si="2"/>
        <v>2388.4312500000001</v>
      </c>
      <c r="H41" s="36" cm="1">
        <f t="array" ref="H41">SUMPRODUCT((C41&gt;tier_floor)*((C41-tier_floor)*step)*margin_rate)</f>
        <v>2388.4312500000001</v>
      </c>
      <c r="I41" s="37">
        <f t="shared" si="3"/>
        <v>0</v>
      </c>
      <c r="J41" s="38">
        <f t="shared" si="4"/>
        <v>2021</v>
      </c>
      <c r="K41" s="128">
        <f>(1+target)^($J41-(MIN(tbl_rep_mon[year])))</f>
        <v>1</v>
      </c>
      <c r="L41" s="35">
        <f t="shared" si="5"/>
        <v>0.25</v>
      </c>
      <c r="M41" s="37">
        <f t="shared" si="6"/>
        <v>2388.4312500000001</v>
      </c>
    </row>
    <row r="42" spans="1:13" x14ac:dyDescent="0.4">
      <c r="A42" t="s">
        <v>4</v>
      </c>
      <c r="B42">
        <v>4</v>
      </c>
      <c r="C42" s="36">
        <v>45921.46</v>
      </c>
      <c r="D42" s="1">
        <v>44256</v>
      </c>
      <c r="E42" s="35">
        <f t="shared" si="0"/>
        <v>0.33</v>
      </c>
      <c r="F42" s="37">
        <f t="shared" si="1"/>
        <v>22960.73</v>
      </c>
      <c r="G42" s="37">
        <f t="shared" si="2"/>
        <v>7577.0409</v>
      </c>
      <c r="H42" s="36" cm="1">
        <f t="array" ref="H42">SUMPRODUCT((C42&gt;tier_floor)*((C42-tier_floor)*step)*margin_rate)</f>
        <v>6577.0409</v>
      </c>
      <c r="I42" s="37">
        <f t="shared" si="3"/>
        <v>1000</v>
      </c>
      <c r="J42" s="38">
        <f t="shared" si="4"/>
        <v>2021</v>
      </c>
      <c r="K42" s="128">
        <f>(1+target)^($J42-(MIN(tbl_rep_mon[year])))</f>
        <v>1</v>
      </c>
      <c r="L42" s="35">
        <f t="shared" si="5"/>
        <v>0.33</v>
      </c>
      <c r="M42" s="37">
        <f t="shared" si="6"/>
        <v>7577.0409</v>
      </c>
    </row>
    <row r="43" spans="1:13" x14ac:dyDescent="0.4">
      <c r="A43" t="s">
        <v>5</v>
      </c>
      <c r="B43">
        <v>2</v>
      </c>
      <c r="C43" s="36">
        <v>46782.98</v>
      </c>
      <c r="D43" s="1">
        <v>44256</v>
      </c>
      <c r="E43" s="35">
        <f t="shared" si="0"/>
        <v>0.33</v>
      </c>
      <c r="F43" s="37">
        <f t="shared" si="1"/>
        <v>23391.49</v>
      </c>
      <c r="G43" s="37">
        <f t="shared" si="2"/>
        <v>7719.1917000000012</v>
      </c>
      <c r="H43" s="36" cm="1">
        <f t="array" ref="H43">SUMPRODUCT((C43&gt;tier_floor)*((C43-tier_floor)*step)*margin_rate)</f>
        <v>6719.1917000000003</v>
      </c>
      <c r="I43" s="37">
        <f t="shared" si="3"/>
        <v>1000.0000000000009</v>
      </c>
      <c r="J43" s="38">
        <f t="shared" si="4"/>
        <v>2021</v>
      </c>
      <c r="K43" s="128">
        <f>(1+target)^($J43-(MIN(tbl_rep_mon[year])))</f>
        <v>1</v>
      </c>
      <c r="L43" s="35">
        <f t="shared" si="5"/>
        <v>0.33</v>
      </c>
      <c r="M43" s="37">
        <f t="shared" si="6"/>
        <v>7719.1917000000012</v>
      </c>
    </row>
    <row r="44" spans="1:13" x14ac:dyDescent="0.4">
      <c r="A44" t="s">
        <v>6</v>
      </c>
      <c r="B44">
        <v>2</v>
      </c>
      <c r="C44" s="36">
        <v>37416.089999999997</v>
      </c>
      <c r="D44" s="1">
        <v>44256</v>
      </c>
      <c r="E44" s="35">
        <f t="shared" si="0"/>
        <v>0.33</v>
      </c>
      <c r="F44" s="37">
        <f t="shared" si="1"/>
        <v>18708.044999999998</v>
      </c>
      <c r="G44" s="37">
        <f t="shared" si="2"/>
        <v>6173.6548499999999</v>
      </c>
      <c r="H44" s="36" cm="1">
        <f t="array" ref="H44">SUMPRODUCT((C44&gt;tier_floor)*((C44-tier_floor)*step)*margin_rate)</f>
        <v>5173.6548499999999</v>
      </c>
      <c r="I44" s="37">
        <f t="shared" si="3"/>
        <v>1000</v>
      </c>
      <c r="J44" s="38">
        <f t="shared" si="4"/>
        <v>2021</v>
      </c>
      <c r="K44" s="128">
        <f>(1+target)^($J44-(MIN(tbl_rep_mon[year])))</f>
        <v>1</v>
      </c>
      <c r="L44" s="35">
        <f t="shared" si="5"/>
        <v>0.33</v>
      </c>
      <c r="M44" s="37">
        <f t="shared" si="6"/>
        <v>6173.6548499999999</v>
      </c>
    </row>
    <row r="45" spans="1:13" x14ac:dyDescent="0.4">
      <c r="A45" t="s">
        <v>7</v>
      </c>
      <c r="B45">
        <v>4</v>
      </c>
      <c r="C45" s="36">
        <v>36985.39</v>
      </c>
      <c r="D45" s="1">
        <v>44256</v>
      </c>
      <c r="E45" s="35">
        <f t="shared" si="0"/>
        <v>0.33</v>
      </c>
      <c r="F45" s="37">
        <f t="shared" si="1"/>
        <v>18492.695</v>
      </c>
      <c r="G45" s="37">
        <f t="shared" si="2"/>
        <v>6102.5893500000002</v>
      </c>
      <c r="H45" s="36" cm="1">
        <f t="array" ref="H45">SUMPRODUCT((C45&gt;tier_floor)*((C45-tier_floor)*step)*margin_rate)</f>
        <v>5102.5893500000002</v>
      </c>
      <c r="I45" s="37">
        <f t="shared" si="3"/>
        <v>1000</v>
      </c>
      <c r="J45" s="38">
        <f t="shared" si="4"/>
        <v>2021</v>
      </c>
      <c r="K45" s="128">
        <f>(1+target)^($J45-(MIN(tbl_rep_mon[year])))</f>
        <v>1</v>
      </c>
      <c r="L45" s="35">
        <f t="shared" si="5"/>
        <v>0.33</v>
      </c>
      <c r="M45" s="37">
        <f t="shared" si="6"/>
        <v>6102.5893500000002</v>
      </c>
    </row>
    <row r="46" spans="1:13" x14ac:dyDescent="0.4">
      <c r="A46" t="s">
        <v>8</v>
      </c>
      <c r="B46">
        <v>4</v>
      </c>
      <c r="C46" s="36">
        <v>51355.88</v>
      </c>
      <c r="D46" s="1">
        <v>44256</v>
      </c>
      <c r="E46" s="35">
        <f t="shared" si="0"/>
        <v>0.42</v>
      </c>
      <c r="F46" s="37">
        <f t="shared" si="1"/>
        <v>25677.94</v>
      </c>
      <c r="G46" s="37">
        <f t="shared" si="2"/>
        <v>10784.734799999998</v>
      </c>
      <c r="H46" s="36" cm="1">
        <f t="array" ref="H46">SUMPRODUCT((C46&gt;tier_floor)*((C46-tier_floor)*step)*margin_rate)</f>
        <v>7534.7347999999993</v>
      </c>
      <c r="I46" s="37">
        <f t="shared" si="3"/>
        <v>3249.9999999999991</v>
      </c>
      <c r="J46" s="38">
        <f t="shared" si="4"/>
        <v>2021</v>
      </c>
      <c r="K46" s="128">
        <f>(1+target)^($J46-(MIN(tbl_rep_mon[year])))</f>
        <v>1</v>
      </c>
      <c r="L46" s="35">
        <f t="shared" si="5"/>
        <v>0.42</v>
      </c>
      <c r="M46" s="37">
        <f t="shared" si="6"/>
        <v>10784.734799999998</v>
      </c>
    </row>
    <row r="47" spans="1:13" x14ac:dyDescent="0.4">
      <c r="A47" t="s">
        <v>10</v>
      </c>
      <c r="B47">
        <v>3</v>
      </c>
      <c r="C47" s="36">
        <v>75561.77</v>
      </c>
      <c r="D47" s="1">
        <v>44256</v>
      </c>
      <c r="E47" s="35">
        <f t="shared" si="0"/>
        <v>0.51</v>
      </c>
      <c r="F47" s="37">
        <f t="shared" si="1"/>
        <v>37780.885000000002</v>
      </c>
      <c r="G47" s="37">
        <f t="shared" si="2"/>
        <v>19268.251350000002</v>
      </c>
      <c r="H47" s="36" cm="1">
        <f t="array" ref="H47">SUMPRODUCT((C47&gt;tier_floor)*((C47-tier_floor)*step)*margin_rate)</f>
        <v>12643.251350000002</v>
      </c>
      <c r="I47" s="37">
        <f t="shared" si="3"/>
        <v>6625</v>
      </c>
      <c r="J47" s="38">
        <f t="shared" si="4"/>
        <v>2021</v>
      </c>
      <c r="K47" s="128">
        <f>(1+target)^($J47-(MIN(tbl_rep_mon[year])))</f>
        <v>1</v>
      </c>
      <c r="L47" s="35">
        <f t="shared" si="5"/>
        <v>0.51</v>
      </c>
      <c r="M47" s="37">
        <f t="shared" si="6"/>
        <v>19268.251350000002</v>
      </c>
    </row>
    <row r="48" spans="1:13" x14ac:dyDescent="0.4">
      <c r="A48" t="s">
        <v>11</v>
      </c>
      <c r="B48">
        <v>1</v>
      </c>
      <c r="C48" s="36">
        <v>44450.27</v>
      </c>
      <c r="D48" s="1">
        <v>44256</v>
      </c>
      <c r="E48" s="35">
        <f t="shared" si="0"/>
        <v>0.33</v>
      </c>
      <c r="F48" s="37">
        <f t="shared" si="1"/>
        <v>22225.134999999998</v>
      </c>
      <c r="G48" s="37">
        <f t="shared" si="2"/>
        <v>7334.2945499999996</v>
      </c>
      <c r="H48" s="36" cm="1">
        <f t="array" ref="H48">SUMPRODUCT((C48&gt;tier_floor)*((C48-tier_floor)*step)*margin_rate)</f>
        <v>6334.2945499999996</v>
      </c>
      <c r="I48" s="37">
        <f t="shared" si="3"/>
        <v>1000</v>
      </c>
      <c r="J48" s="38">
        <f t="shared" si="4"/>
        <v>2021</v>
      </c>
      <c r="K48" s="128">
        <f>(1+target)^($J48-(MIN(tbl_rep_mon[year])))</f>
        <v>1</v>
      </c>
      <c r="L48" s="35">
        <f t="shared" si="5"/>
        <v>0.33</v>
      </c>
      <c r="M48" s="37">
        <f t="shared" si="6"/>
        <v>7334.2945499999996</v>
      </c>
    </row>
    <row r="49" spans="1:13" x14ac:dyDescent="0.4">
      <c r="A49" t="s">
        <v>12</v>
      </c>
      <c r="B49">
        <v>2</v>
      </c>
      <c r="C49" s="36">
        <v>59863.44</v>
      </c>
      <c r="D49" s="1">
        <v>44256</v>
      </c>
      <c r="E49" s="35">
        <f t="shared" si="0"/>
        <v>0.42</v>
      </c>
      <c r="F49" s="37">
        <f t="shared" si="1"/>
        <v>29931.72</v>
      </c>
      <c r="G49" s="37">
        <f t="shared" si="2"/>
        <v>12571.322400000001</v>
      </c>
      <c r="H49" s="36" cm="1">
        <f t="array" ref="H49">SUMPRODUCT((C49&gt;tier_floor)*((C49-tier_floor)*step)*margin_rate)</f>
        <v>9321.3223999999991</v>
      </c>
      <c r="I49" s="37">
        <f t="shared" si="3"/>
        <v>3250.0000000000018</v>
      </c>
      <c r="J49" s="38">
        <f t="shared" si="4"/>
        <v>2021</v>
      </c>
      <c r="K49" s="128">
        <f>(1+target)^($J49-(MIN(tbl_rep_mon[year])))</f>
        <v>1</v>
      </c>
      <c r="L49" s="35">
        <f t="shared" si="5"/>
        <v>0.42</v>
      </c>
      <c r="M49" s="37">
        <f t="shared" si="6"/>
        <v>12571.322400000001</v>
      </c>
    </row>
    <row r="50" spans="1:13" x14ac:dyDescent="0.4">
      <c r="A50" t="s">
        <v>13</v>
      </c>
      <c r="B50">
        <v>2</v>
      </c>
      <c r="C50" s="36">
        <v>60040.29</v>
      </c>
      <c r="D50" s="1">
        <v>44256</v>
      </c>
      <c r="E50" s="35">
        <f t="shared" si="0"/>
        <v>0.42</v>
      </c>
      <c r="F50" s="37">
        <f t="shared" si="1"/>
        <v>30020.145</v>
      </c>
      <c r="G50" s="37">
        <f t="shared" si="2"/>
        <v>12608.4609</v>
      </c>
      <c r="H50" s="36" cm="1">
        <f t="array" ref="H50">SUMPRODUCT((C50&gt;tier_floor)*((C50-tier_floor)*step)*margin_rate)</f>
        <v>9358.4609000000019</v>
      </c>
      <c r="I50" s="37">
        <f t="shared" si="3"/>
        <v>3249.9999999999982</v>
      </c>
      <c r="J50" s="38">
        <f t="shared" si="4"/>
        <v>2021</v>
      </c>
      <c r="K50" s="128">
        <f>(1+target)^($J50-(MIN(tbl_rep_mon[year])))</f>
        <v>1</v>
      </c>
      <c r="L50" s="35">
        <f t="shared" si="5"/>
        <v>0.42</v>
      </c>
      <c r="M50" s="37">
        <f t="shared" si="6"/>
        <v>12608.4609</v>
      </c>
    </row>
    <row r="51" spans="1:13" x14ac:dyDescent="0.4">
      <c r="A51" t="s">
        <v>14</v>
      </c>
      <c r="B51">
        <v>4</v>
      </c>
      <c r="C51" s="36">
        <v>49388.33</v>
      </c>
      <c r="D51" s="1">
        <v>44256</v>
      </c>
      <c r="E51" s="35">
        <f t="shared" si="0"/>
        <v>0.33</v>
      </c>
      <c r="F51" s="37">
        <f t="shared" si="1"/>
        <v>24694.165000000001</v>
      </c>
      <c r="G51" s="37">
        <f t="shared" si="2"/>
        <v>8149.074450000001</v>
      </c>
      <c r="H51" s="36" cm="1">
        <f t="array" ref="H51">SUMPRODUCT((C51&gt;tier_floor)*((C51-tier_floor)*step)*margin_rate)</f>
        <v>7149.0744500000001</v>
      </c>
      <c r="I51" s="37">
        <f t="shared" si="3"/>
        <v>1000.0000000000009</v>
      </c>
      <c r="J51" s="38">
        <f t="shared" si="4"/>
        <v>2021</v>
      </c>
      <c r="K51" s="128">
        <f>(1+target)^($J51-(MIN(tbl_rep_mon[year])))</f>
        <v>1</v>
      </c>
      <c r="L51" s="35">
        <f t="shared" si="5"/>
        <v>0.33</v>
      </c>
      <c r="M51" s="37">
        <f t="shared" si="6"/>
        <v>8149.074450000001</v>
      </c>
    </row>
    <row r="52" spans="1:13" x14ac:dyDescent="0.4">
      <c r="A52" t="s">
        <v>15</v>
      </c>
      <c r="B52">
        <v>3</v>
      </c>
      <c r="C52" s="36">
        <v>68820.31</v>
      </c>
      <c r="D52" s="1">
        <v>44256</v>
      </c>
      <c r="E52" s="35">
        <f t="shared" si="0"/>
        <v>0.42</v>
      </c>
      <c r="F52" s="37">
        <f t="shared" si="1"/>
        <v>34410.154999999999</v>
      </c>
      <c r="G52" s="37">
        <f t="shared" si="2"/>
        <v>14452.265099999999</v>
      </c>
      <c r="H52" s="36" cm="1">
        <f t="array" ref="H52">SUMPRODUCT((C52&gt;tier_floor)*((C52-tier_floor)*step)*margin_rate)</f>
        <v>11202.265100000001</v>
      </c>
      <c r="I52" s="37">
        <f t="shared" si="3"/>
        <v>3249.9999999999982</v>
      </c>
      <c r="J52" s="38">
        <f t="shared" si="4"/>
        <v>2021</v>
      </c>
      <c r="K52" s="128">
        <f>(1+target)^($J52-(MIN(tbl_rep_mon[year])))</f>
        <v>1</v>
      </c>
      <c r="L52" s="35">
        <f t="shared" si="5"/>
        <v>0.42</v>
      </c>
      <c r="M52" s="37">
        <f t="shared" si="6"/>
        <v>14452.265099999999</v>
      </c>
    </row>
    <row r="53" spans="1:13" x14ac:dyDescent="0.4">
      <c r="A53" t="s">
        <v>16</v>
      </c>
      <c r="B53">
        <v>3</v>
      </c>
      <c r="C53" s="36">
        <v>71536.23</v>
      </c>
      <c r="D53" s="1">
        <v>44256</v>
      </c>
      <c r="E53" s="35">
        <f t="shared" si="0"/>
        <v>0.42</v>
      </c>
      <c r="F53" s="37">
        <f t="shared" si="1"/>
        <v>35768.114999999998</v>
      </c>
      <c r="G53" s="37">
        <f t="shared" si="2"/>
        <v>15022.608299999998</v>
      </c>
      <c r="H53" s="36" cm="1">
        <f t="array" ref="H53">SUMPRODUCT((C53&gt;tier_floor)*((C53-tier_floor)*step)*margin_rate)</f>
        <v>11772.6083</v>
      </c>
      <c r="I53" s="37">
        <f t="shared" si="3"/>
        <v>3249.9999999999982</v>
      </c>
      <c r="J53" s="38">
        <f t="shared" si="4"/>
        <v>2021</v>
      </c>
      <c r="K53" s="128">
        <f>(1+target)^($J53-(MIN(tbl_rep_mon[year])))</f>
        <v>1</v>
      </c>
      <c r="L53" s="35">
        <f t="shared" si="5"/>
        <v>0.42</v>
      </c>
      <c r="M53" s="37">
        <f t="shared" si="6"/>
        <v>15022.608299999998</v>
      </c>
    </row>
    <row r="54" spans="1:13" x14ac:dyDescent="0.4">
      <c r="A54" t="s">
        <v>17</v>
      </c>
      <c r="B54">
        <v>2</v>
      </c>
      <c r="C54" s="36">
        <v>47094.04</v>
      </c>
      <c r="D54" s="1">
        <v>44256</v>
      </c>
      <c r="E54" s="35">
        <f t="shared" si="0"/>
        <v>0.33</v>
      </c>
      <c r="F54" s="37">
        <f t="shared" si="1"/>
        <v>23547.02</v>
      </c>
      <c r="G54" s="37">
        <f t="shared" si="2"/>
        <v>7770.5166000000008</v>
      </c>
      <c r="H54" s="36" cm="1">
        <f t="array" ref="H54">SUMPRODUCT((C54&gt;tier_floor)*((C54-tier_floor)*step)*margin_rate)</f>
        <v>6770.5165999999999</v>
      </c>
      <c r="I54" s="37">
        <f t="shared" si="3"/>
        <v>1000.0000000000009</v>
      </c>
      <c r="J54" s="38">
        <f t="shared" si="4"/>
        <v>2021</v>
      </c>
      <c r="K54" s="128">
        <f>(1+target)^($J54-(MIN(tbl_rep_mon[year])))</f>
        <v>1</v>
      </c>
      <c r="L54" s="35">
        <f t="shared" si="5"/>
        <v>0.33</v>
      </c>
      <c r="M54" s="37">
        <f t="shared" si="6"/>
        <v>7770.5166000000008</v>
      </c>
    </row>
    <row r="55" spans="1:13" x14ac:dyDescent="0.4">
      <c r="A55" t="s">
        <v>18</v>
      </c>
      <c r="B55">
        <v>3</v>
      </c>
      <c r="C55" s="36">
        <v>71029.08</v>
      </c>
      <c r="D55" s="1">
        <v>44256</v>
      </c>
      <c r="E55" s="35">
        <f t="shared" si="0"/>
        <v>0.42</v>
      </c>
      <c r="F55" s="37">
        <f t="shared" si="1"/>
        <v>35514.54</v>
      </c>
      <c r="G55" s="37">
        <f t="shared" si="2"/>
        <v>14916.1068</v>
      </c>
      <c r="H55" s="36" cm="1">
        <f t="array" ref="H55">SUMPRODUCT((C55&gt;tier_floor)*((C55-tier_floor)*step)*margin_rate)</f>
        <v>11666.106800000001</v>
      </c>
      <c r="I55" s="37">
        <f t="shared" si="3"/>
        <v>3249.9999999999982</v>
      </c>
      <c r="J55" s="38">
        <f t="shared" si="4"/>
        <v>2021</v>
      </c>
      <c r="K55" s="128">
        <f>(1+target)^($J55-(MIN(tbl_rep_mon[year])))</f>
        <v>1</v>
      </c>
      <c r="L55" s="35">
        <f t="shared" si="5"/>
        <v>0.42</v>
      </c>
      <c r="M55" s="37">
        <f t="shared" si="6"/>
        <v>14916.1068</v>
      </c>
    </row>
    <row r="56" spans="1:13" x14ac:dyDescent="0.4">
      <c r="A56" t="s">
        <v>19</v>
      </c>
      <c r="B56">
        <v>4</v>
      </c>
      <c r="C56" s="36">
        <v>62276.87</v>
      </c>
      <c r="D56" s="1">
        <v>44256</v>
      </c>
      <c r="E56" s="35">
        <f t="shared" si="0"/>
        <v>0.42</v>
      </c>
      <c r="F56" s="37">
        <f t="shared" si="1"/>
        <v>31138.435000000001</v>
      </c>
      <c r="G56" s="37">
        <f t="shared" si="2"/>
        <v>13078.1427</v>
      </c>
      <c r="H56" s="36" cm="1">
        <f t="array" ref="H56">SUMPRODUCT((C56&gt;tier_floor)*((C56-tier_floor)*step)*margin_rate)</f>
        <v>9828.1427000000022</v>
      </c>
      <c r="I56" s="37">
        <f t="shared" si="3"/>
        <v>3249.9999999999982</v>
      </c>
      <c r="J56" s="38">
        <f t="shared" si="4"/>
        <v>2021</v>
      </c>
      <c r="K56" s="128">
        <f>(1+target)^($J56-(MIN(tbl_rep_mon[year])))</f>
        <v>1</v>
      </c>
      <c r="L56" s="35">
        <f t="shared" si="5"/>
        <v>0.42</v>
      </c>
      <c r="M56" s="37">
        <f t="shared" si="6"/>
        <v>13078.1427</v>
      </c>
    </row>
    <row r="57" spans="1:13" x14ac:dyDescent="0.4">
      <c r="A57" t="s">
        <v>20</v>
      </c>
      <c r="B57">
        <v>4</v>
      </c>
      <c r="C57" s="36">
        <v>39524.639999999999</v>
      </c>
      <c r="D57" s="1">
        <v>44256</v>
      </c>
      <c r="E57" s="35">
        <f t="shared" si="0"/>
        <v>0.33</v>
      </c>
      <c r="F57" s="37">
        <f t="shared" si="1"/>
        <v>19762.32</v>
      </c>
      <c r="G57" s="37">
        <f t="shared" si="2"/>
        <v>6521.5655999999999</v>
      </c>
      <c r="H57" s="36" cm="1">
        <f t="array" ref="H57">SUMPRODUCT((C57&gt;tier_floor)*((C57-tier_floor)*step)*margin_rate)</f>
        <v>5521.5655999999999</v>
      </c>
      <c r="I57" s="37">
        <f t="shared" si="3"/>
        <v>1000</v>
      </c>
      <c r="J57" s="38">
        <f t="shared" si="4"/>
        <v>2021</v>
      </c>
      <c r="K57" s="128">
        <f>(1+target)^($J57-(MIN(tbl_rep_mon[year])))</f>
        <v>1</v>
      </c>
      <c r="L57" s="35">
        <f t="shared" si="5"/>
        <v>0.33</v>
      </c>
      <c r="M57" s="37">
        <f t="shared" si="6"/>
        <v>6521.5655999999999</v>
      </c>
    </row>
    <row r="58" spans="1:13" x14ac:dyDescent="0.4">
      <c r="A58" t="s">
        <v>21</v>
      </c>
      <c r="B58">
        <v>4</v>
      </c>
      <c r="C58" s="36">
        <v>44291.86</v>
      </c>
      <c r="D58" s="1">
        <v>44256</v>
      </c>
      <c r="E58" s="35">
        <f t="shared" si="0"/>
        <v>0.33</v>
      </c>
      <c r="F58" s="37">
        <f t="shared" si="1"/>
        <v>22145.93</v>
      </c>
      <c r="G58" s="37">
        <f t="shared" si="2"/>
        <v>7308.1569000000009</v>
      </c>
      <c r="H58" s="36" cm="1">
        <f t="array" ref="H58">SUMPRODUCT((C58&gt;tier_floor)*((C58-tier_floor)*step)*margin_rate)</f>
        <v>6308.1569</v>
      </c>
      <c r="I58" s="37">
        <f t="shared" si="3"/>
        <v>1000.0000000000009</v>
      </c>
      <c r="J58" s="38">
        <f t="shared" si="4"/>
        <v>2021</v>
      </c>
      <c r="K58" s="128">
        <f>(1+target)^($J58-(MIN(tbl_rep_mon[year])))</f>
        <v>1</v>
      </c>
      <c r="L58" s="35">
        <f t="shared" si="5"/>
        <v>0.33</v>
      </c>
      <c r="M58" s="37">
        <f t="shared" si="6"/>
        <v>7308.1569000000009</v>
      </c>
    </row>
    <row r="59" spans="1:13" x14ac:dyDescent="0.4">
      <c r="A59" t="s">
        <v>22</v>
      </c>
      <c r="B59">
        <v>4</v>
      </c>
      <c r="C59" s="36">
        <v>57200.76</v>
      </c>
      <c r="D59" s="1">
        <v>44256</v>
      </c>
      <c r="E59" s="35">
        <f t="shared" si="0"/>
        <v>0.42</v>
      </c>
      <c r="F59" s="37">
        <f t="shared" si="1"/>
        <v>28600.38</v>
      </c>
      <c r="G59" s="37">
        <f t="shared" si="2"/>
        <v>12012.159600000001</v>
      </c>
      <c r="H59" s="36" cm="1">
        <f t="array" ref="H59">SUMPRODUCT((C59&gt;tier_floor)*((C59-tier_floor)*step)*margin_rate)</f>
        <v>8762.1596000000009</v>
      </c>
      <c r="I59" s="37">
        <f t="shared" si="3"/>
        <v>3250</v>
      </c>
      <c r="J59" s="38">
        <f t="shared" si="4"/>
        <v>2021</v>
      </c>
      <c r="K59" s="128">
        <f>(1+target)^($J59-(MIN(tbl_rep_mon[year])))</f>
        <v>1</v>
      </c>
      <c r="L59" s="35">
        <f t="shared" si="5"/>
        <v>0.42</v>
      </c>
      <c r="M59" s="37">
        <f t="shared" si="6"/>
        <v>12012.159600000001</v>
      </c>
    </row>
    <row r="60" spans="1:13" x14ac:dyDescent="0.4">
      <c r="A60" t="s">
        <v>23</v>
      </c>
      <c r="B60">
        <v>1</v>
      </c>
      <c r="C60" s="36">
        <v>102813.11</v>
      </c>
      <c r="D60" s="1">
        <v>44256</v>
      </c>
      <c r="E60" s="35">
        <f t="shared" si="0"/>
        <v>0.6</v>
      </c>
      <c r="F60" s="37">
        <f t="shared" si="1"/>
        <v>51406.555</v>
      </c>
      <c r="G60" s="37">
        <f t="shared" si="2"/>
        <v>30843.932999999997</v>
      </c>
      <c r="H60" s="36" cm="1">
        <f t="array" ref="H60">SUMPRODUCT((C60&gt;tier_floor)*((C60-tier_floor)*step)*margin_rate)</f>
        <v>19718.933000000001</v>
      </c>
      <c r="I60" s="37">
        <f t="shared" si="3"/>
        <v>11124.999999999996</v>
      </c>
      <c r="J60" s="38">
        <f t="shared" si="4"/>
        <v>2021</v>
      </c>
      <c r="K60" s="128">
        <f>(1+target)^($J60-(MIN(tbl_rep_mon[year])))</f>
        <v>1</v>
      </c>
      <c r="L60" s="35">
        <f t="shared" si="5"/>
        <v>0.6</v>
      </c>
      <c r="M60" s="37">
        <f t="shared" si="6"/>
        <v>30843.932999999997</v>
      </c>
    </row>
    <row r="61" spans="1:13" x14ac:dyDescent="0.4">
      <c r="A61" t="s">
        <v>24</v>
      </c>
      <c r="B61">
        <v>3</v>
      </c>
      <c r="C61" s="36">
        <v>40121.480000000003</v>
      </c>
      <c r="D61" s="1">
        <v>44256</v>
      </c>
      <c r="E61" s="35">
        <f t="shared" si="0"/>
        <v>0.33</v>
      </c>
      <c r="F61" s="37">
        <f t="shared" si="1"/>
        <v>20060.740000000002</v>
      </c>
      <c r="G61" s="37">
        <f t="shared" si="2"/>
        <v>6620.0442000000012</v>
      </c>
      <c r="H61" s="36" cm="1">
        <f t="array" ref="H61">SUMPRODUCT((C61&gt;tier_floor)*((C61-tier_floor)*step)*margin_rate)</f>
        <v>5620.0442000000003</v>
      </c>
      <c r="I61" s="37">
        <f t="shared" si="3"/>
        <v>1000.0000000000009</v>
      </c>
      <c r="J61" s="38">
        <f t="shared" si="4"/>
        <v>2021</v>
      </c>
      <c r="K61" s="128">
        <f>(1+target)^($J61-(MIN(tbl_rep_mon[year])))</f>
        <v>1</v>
      </c>
      <c r="L61" s="35">
        <f t="shared" si="5"/>
        <v>0.33</v>
      </c>
      <c r="M61" s="37">
        <f t="shared" si="6"/>
        <v>6620.0442000000012</v>
      </c>
    </row>
    <row r="62" spans="1:13" x14ac:dyDescent="0.4">
      <c r="A62" t="s">
        <v>4</v>
      </c>
      <c r="B62">
        <v>4</v>
      </c>
      <c r="C62" s="36">
        <v>56151.02</v>
      </c>
      <c r="D62" s="1">
        <v>44287</v>
      </c>
      <c r="E62" s="35">
        <f t="shared" si="0"/>
        <v>0.42</v>
      </c>
      <c r="F62" s="37">
        <f t="shared" si="1"/>
        <v>28075.51</v>
      </c>
      <c r="G62" s="37">
        <f t="shared" si="2"/>
        <v>11791.714199999999</v>
      </c>
      <c r="H62" s="36" cm="1">
        <f t="array" ref="H62">SUMPRODUCT((C62&gt;tier_floor)*((C62-tier_floor)*step)*margin_rate)</f>
        <v>8541.7141999999985</v>
      </c>
      <c r="I62" s="37">
        <f t="shared" si="3"/>
        <v>3250</v>
      </c>
      <c r="J62" s="38">
        <f t="shared" si="4"/>
        <v>2021</v>
      </c>
      <c r="K62" s="128">
        <f>(1+target)^($J62-(MIN(tbl_rep_mon[year])))</f>
        <v>1</v>
      </c>
      <c r="L62" s="35">
        <f t="shared" si="5"/>
        <v>0.42</v>
      </c>
      <c r="M62" s="37">
        <f t="shared" si="6"/>
        <v>11791.714199999999</v>
      </c>
    </row>
    <row r="63" spans="1:13" x14ac:dyDescent="0.4">
      <c r="A63" t="s">
        <v>5</v>
      </c>
      <c r="B63">
        <v>2</v>
      </c>
      <c r="C63" s="36">
        <v>18995.330000000002</v>
      </c>
      <c r="D63" s="1">
        <v>44287</v>
      </c>
      <c r="E63" s="35">
        <f t="shared" si="0"/>
        <v>0.25</v>
      </c>
      <c r="F63" s="37">
        <f t="shared" si="1"/>
        <v>9497.6650000000009</v>
      </c>
      <c r="G63" s="37">
        <f t="shared" si="2"/>
        <v>2374.4162500000002</v>
      </c>
      <c r="H63" s="36" cm="1">
        <f t="array" ref="H63">SUMPRODUCT((C63&gt;tier_floor)*((C63-tier_floor)*step)*margin_rate)</f>
        <v>2374.4162500000002</v>
      </c>
      <c r="I63" s="37">
        <f t="shared" si="3"/>
        <v>0</v>
      </c>
      <c r="J63" s="38">
        <f t="shared" si="4"/>
        <v>2021</v>
      </c>
      <c r="K63" s="128">
        <f>(1+target)^($J63-(MIN(tbl_rep_mon[year])))</f>
        <v>1</v>
      </c>
      <c r="L63" s="35">
        <f t="shared" si="5"/>
        <v>0.25</v>
      </c>
      <c r="M63" s="37">
        <f t="shared" si="6"/>
        <v>2374.4162500000002</v>
      </c>
    </row>
    <row r="64" spans="1:13" x14ac:dyDescent="0.4">
      <c r="A64" t="s">
        <v>6</v>
      </c>
      <c r="B64">
        <v>2</v>
      </c>
      <c r="C64" s="36">
        <v>52447.71</v>
      </c>
      <c r="D64" s="1">
        <v>44287</v>
      </c>
      <c r="E64" s="35">
        <f t="shared" si="0"/>
        <v>0.42</v>
      </c>
      <c r="F64" s="37">
        <f t="shared" si="1"/>
        <v>26223.855</v>
      </c>
      <c r="G64" s="37">
        <f t="shared" si="2"/>
        <v>11014.0191</v>
      </c>
      <c r="H64" s="36" cm="1">
        <f t="array" ref="H64">SUMPRODUCT((C64&gt;tier_floor)*((C64-tier_floor)*step)*margin_rate)</f>
        <v>7764.0191000000004</v>
      </c>
      <c r="I64" s="37">
        <f t="shared" si="3"/>
        <v>3249.9999999999991</v>
      </c>
      <c r="J64" s="38">
        <f t="shared" si="4"/>
        <v>2021</v>
      </c>
      <c r="K64" s="128">
        <f>(1+target)^($J64-(MIN(tbl_rep_mon[year])))</f>
        <v>1</v>
      </c>
      <c r="L64" s="35">
        <f t="shared" si="5"/>
        <v>0.42</v>
      </c>
      <c r="M64" s="37">
        <f t="shared" si="6"/>
        <v>11014.0191</v>
      </c>
    </row>
    <row r="65" spans="1:13" x14ac:dyDescent="0.4">
      <c r="A65" t="s">
        <v>7</v>
      </c>
      <c r="B65">
        <v>4</v>
      </c>
      <c r="C65" s="36">
        <v>46535.25</v>
      </c>
      <c r="D65" s="1">
        <v>44287</v>
      </c>
      <c r="E65" s="35">
        <f t="shared" si="0"/>
        <v>0.33</v>
      </c>
      <c r="F65" s="37">
        <f t="shared" si="1"/>
        <v>23267.625</v>
      </c>
      <c r="G65" s="37">
        <f t="shared" si="2"/>
        <v>7678.3162500000008</v>
      </c>
      <c r="H65" s="36" cm="1">
        <f t="array" ref="H65">SUMPRODUCT((C65&gt;tier_floor)*((C65-tier_floor)*step)*margin_rate)</f>
        <v>6678.3162499999999</v>
      </c>
      <c r="I65" s="37">
        <f t="shared" si="3"/>
        <v>1000.0000000000009</v>
      </c>
      <c r="J65" s="38">
        <f t="shared" si="4"/>
        <v>2021</v>
      </c>
      <c r="K65" s="128">
        <f>(1+target)^($J65-(MIN(tbl_rep_mon[year])))</f>
        <v>1</v>
      </c>
      <c r="L65" s="35">
        <f t="shared" si="5"/>
        <v>0.33</v>
      </c>
      <c r="M65" s="37">
        <f t="shared" si="6"/>
        <v>7678.3162500000008</v>
      </c>
    </row>
    <row r="66" spans="1:13" x14ac:dyDescent="0.4">
      <c r="A66" t="s">
        <v>8</v>
      </c>
      <c r="B66">
        <v>4</v>
      </c>
      <c r="C66" s="36">
        <v>53607.86</v>
      </c>
      <c r="D66" s="1">
        <v>44287</v>
      </c>
      <c r="E66" s="35">
        <f t="shared" ref="E66:E129" si="7">_xlfn.XLOOKUP(C66,tier_floor,tier_rate,,-1)</f>
        <v>0.42</v>
      </c>
      <c r="F66" s="37">
        <f t="shared" ref="F66:F129" si="8">C66*margin_rate</f>
        <v>26803.93</v>
      </c>
      <c r="G66" s="37">
        <f t="shared" ref="G66:G129" si="9">F66*E66</f>
        <v>11257.650599999999</v>
      </c>
      <c r="H66" s="36" cm="1">
        <f t="array" ref="H66">SUMPRODUCT((C66&gt;tier_floor)*((C66-tier_floor)*step)*margin_rate)</f>
        <v>8007.6505999999999</v>
      </c>
      <c r="I66" s="37">
        <f t="shared" ref="I66:I129" si="10">G66-H66</f>
        <v>3249.9999999999991</v>
      </c>
      <c r="J66" s="38">
        <f t="shared" ref="J66:J129" si="11">YEAR(D66)</f>
        <v>2021</v>
      </c>
      <c r="K66" s="128">
        <f>(1+target)^($J66-(MIN(tbl_rep_mon[year])))</f>
        <v>1</v>
      </c>
      <c r="L66" s="35">
        <f t="shared" ref="L66:L129" si="12">_xlfn.XLOOKUP(($C66/$K66),tier_floor,tier_rate,,-1)</f>
        <v>0.42</v>
      </c>
      <c r="M66" s="37">
        <f t="shared" ref="M66:M129" si="13">$F66*$L66</f>
        <v>11257.650599999999</v>
      </c>
    </row>
    <row r="67" spans="1:13" x14ac:dyDescent="0.4">
      <c r="A67" t="s">
        <v>10</v>
      </c>
      <c r="B67">
        <v>3</v>
      </c>
      <c r="C67" s="36">
        <v>68377.119999999995</v>
      </c>
      <c r="D67" s="1">
        <v>44287</v>
      </c>
      <c r="E67" s="35">
        <f t="shared" si="7"/>
        <v>0.42</v>
      </c>
      <c r="F67" s="37">
        <f t="shared" si="8"/>
        <v>34188.559999999998</v>
      </c>
      <c r="G67" s="37">
        <f t="shared" si="9"/>
        <v>14359.195199999998</v>
      </c>
      <c r="H67" s="36" cm="1">
        <f t="array" ref="H67">SUMPRODUCT((C67&gt;tier_floor)*((C67-tier_floor)*step)*margin_rate)</f>
        <v>11109.1952</v>
      </c>
      <c r="I67" s="37">
        <f t="shared" si="10"/>
        <v>3249.9999999999982</v>
      </c>
      <c r="J67" s="38">
        <f t="shared" si="11"/>
        <v>2021</v>
      </c>
      <c r="K67" s="128">
        <f>(1+target)^($J67-(MIN(tbl_rep_mon[year])))</f>
        <v>1</v>
      </c>
      <c r="L67" s="35">
        <f t="shared" si="12"/>
        <v>0.42</v>
      </c>
      <c r="M67" s="37">
        <f t="shared" si="13"/>
        <v>14359.195199999998</v>
      </c>
    </row>
    <row r="68" spans="1:13" x14ac:dyDescent="0.4">
      <c r="A68" t="s">
        <v>11</v>
      </c>
      <c r="B68">
        <v>1</v>
      </c>
      <c r="C68" s="36">
        <v>50935.08</v>
      </c>
      <c r="D68" s="1">
        <v>44287</v>
      </c>
      <c r="E68" s="35">
        <f t="shared" si="7"/>
        <v>0.42</v>
      </c>
      <c r="F68" s="37">
        <f t="shared" si="8"/>
        <v>25467.54</v>
      </c>
      <c r="G68" s="37">
        <f t="shared" si="9"/>
        <v>10696.3668</v>
      </c>
      <c r="H68" s="36" cm="1">
        <f t="array" ref="H68">SUMPRODUCT((C68&gt;tier_floor)*((C68-tier_floor)*step)*margin_rate)</f>
        <v>7446.3668000000007</v>
      </c>
      <c r="I68" s="37">
        <f t="shared" si="10"/>
        <v>3249.9999999999991</v>
      </c>
      <c r="J68" s="38">
        <f t="shared" si="11"/>
        <v>2021</v>
      </c>
      <c r="K68" s="128">
        <f>(1+target)^($J68-(MIN(tbl_rep_mon[year])))</f>
        <v>1</v>
      </c>
      <c r="L68" s="35">
        <f t="shared" si="12"/>
        <v>0.42</v>
      </c>
      <c r="M68" s="37">
        <f t="shared" si="13"/>
        <v>10696.3668</v>
      </c>
    </row>
    <row r="69" spans="1:13" x14ac:dyDescent="0.4">
      <c r="A69" t="s">
        <v>12</v>
      </c>
      <c r="B69">
        <v>2</v>
      </c>
      <c r="C69" s="36">
        <v>57665.08</v>
      </c>
      <c r="D69" s="1">
        <v>44287</v>
      </c>
      <c r="E69" s="35">
        <f t="shared" si="7"/>
        <v>0.42</v>
      </c>
      <c r="F69" s="37">
        <f t="shared" si="8"/>
        <v>28832.54</v>
      </c>
      <c r="G69" s="37">
        <f t="shared" si="9"/>
        <v>12109.666799999999</v>
      </c>
      <c r="H69" s="36" cm="1">
        <f t="array" ref="H69">SUMPRODUCT((C69&gt;tier_floor)*((C69-tier_floor)*step)*margin_rate)</f>
        <v>8859.6667999999991</v>
      </c>
      <c r="I69" s="37">
        <f t="shared" si="10"/>
        <v>3250</v>
      </c>
      <c r="J69" s="38">
        <f t="shared" si="11"/>
        <v>2021</v>
      </c>
      <c r="K69" s="128">
        <f>(1+target)^($J69-(MIN(tbl_rep_mon[year])))</f>
        <v>1</v>
      </c>
      <c r="L69" s="35">
        <f t="shared" si="12"/>
        <v>0.42</v>
      </c>
      <c r="M69" s="37">
        <f t="shared" si="13"/>
        <v>12109.666799999999</v>
      </c>
    </row>
    <row r="70" spans="1:13" x14ac:dyDescent="0.4">
      <c r="A70" t="s">
        <v>13</v>
      </c>
      <c r="B70">
        <v>2</v>
      </c>
      <c r="C70" s="36">
        <v>67084.66</v>
      </c>
      <c r="D70" s="1">
        <v>44287</v>
      </c>
      <c r="E70" s="35">
        <f t="shared" si="7"/>
        <v>0.42</v>
      </c>
      <c r="F70" s="37">
        <f t="shared" si="8"/>
        <v>33542.33</v>
      </c>
      <c r="G70" s="37">
        <f t="shared" si="9"/>
        <v>14087.7786</v>
      </c>
      <c r="H70" s="36" cm="1">
        <f t="array" ref="H70">SUMPRODUCT((C70&gt;tier_floor)*((C70-tier_floor)*step)*margin_rate)</f>
        <v>10837.778600000001</v>
      </c>
      <c r="I70" s="37">
        <f t="shared" si="10"/>
        <v>3249.9999999999982</v>
      </c>
      <c r="J70" s="38">
        <f t="shared" si="11"/>
        <v>2021</v>
      </c>
      <c r="K70" s="128">
        <f>(1+target)^($J70-(MIN(tbl_rep_mon[year])))</f>
        <v>1</v>
      </c>
      <c r="L70" s="35">
        <f t="shared" si="12"/>
        <v>0.42</v>
      </c>
      <c r="M70" s="37">
        <f t="shared" si="13"/>
        <v>14087.7786</v>
      </c>
    </row>
    <row r="71" spans="1:13" x14ac:dyDescent="0.4">
      <c r="A71" t="s">
        <v>14</v>
      </c>
      <c r="B71">
        <v>4</v>
      </c>
      <c r="C71" s="36">
        <v>42925.37</v>
      </c>
      <c r="D71" s="1">
        <v>44287</v>
      </c>
      <c r="E71" s="35">
        <f t="shared" si="7"/>
        <v>0.33</v>
      </c>
      <c r="F71" s="37">
        <f t="shared" si="8"/>
        <v>21462.685000000001</v>
      </c>
      <c r="G71" s="37">
        <f t="shared" si="9"/>
        <v>7082.6860500000012</v>
      </c>
      <c r="H71" s="36" cm="1">
        <f t="array" ref="H71">SUMPRODUCT((C71&gt;tier_floor)*((C71-tier_floor)*step)*margin_rate)</f>
        <v>6082.6860500000003</v>
      </c>
      <c r="I71" s="37">
        <f t="shared" si="10"/>
        <v>1000.0000000000009</v>
      </c>
      <c r="J71" s="38">
        <f t="shared" si="11"/>
        <v>2021</v>
      </c>
      <c r="K71" s="128">
        <f>(1+target)^($J71-(MIN(tbl_rep_mon[year])))</f>
        <v>1</v>
      </c>
      <c r="L71" s="35">
        <f t="shared" si="12"/>
        <v>0.33</v>
      </c>
      <c r="M71" s="37">
        <f t="shared" si="13"/>
        <v>7082.6860500000012</v>
      </c>
    </row>
    <row r="72" spans="1:13" x14ac:dyDescent="0.4">
      <c r="A72" t="s">
        <v>15</v>
      </c>
      <c r="B72">
        <v>3</v>
      </c>
      <c r="C72" s="36">
        <v>59801.8</v>
      </c>
      <c r="D72" s="1">
        <v>44287</v>
      </c>
      <c r="E72" s="35">
        <f t="shared" si="7"/>
        <v>0.42</v>
      </c>
      <c r="F72" s="37">
        <f t="shared" si="8"/>
        <v>29900.9</v>
      </c>
      <c r="G72" s="37">
        <f t="shared" si="9"/>
        <v>12558.378000000001</v>
      </c>
      <c r="H72" s="36" cm="1">
        <f t="array" ref="H72">SUMPRODUCT((C72&gt;tier_floor)*((C72-tier_floor)*step)*margin_rate)</f>
        <v>9308.3780000000006</v>
      </c>
      <c r="I72" s="37">
        <f t="shared" si="10"/>
        <v>3250</v>
      </c>
      <c r="J72" s="38">
        <f t="shared" si="11"/>
        <v>2021</v>
      </c>
      <c r="K72" s="128">
        <f>(1+target)^($J72-(MIN(tbl_rep_mon[year])))</f>
        <v>1</v>
      </c>
      <c r="L72" s="35">
        <f t="shared" si="12"/>
        <v>0.42</v>
      </c>
      <c r="M72" s="37">
        <f t="shared" si="13"/>
        <v>12558.378000000001</v>
      </c>
    </row>
    <row r="73" spans="1:13" x14ac:dyDescent="0.4">
      <c r="A73" t="s">
        <v>16</v>
      </c>
      <c r="B73">
        <v>3</v>
      </c>
      <c r="C73" s="36">
        <v>73944.98</v>
      </c>
      <c r="D73" s="1">
        <v>44287</v>
      </c>
      <c r="E73" s="35">
        <f t="shared" si="7"/>
        <v>0.42</v>
      </c>
      <c r="F73" s="37">
        <f t="shared" si="8"/>
        <v>36972.49</v>
      </c>
      <c r="G73" s="37">
        <f t="shared" si="9"/>
        <v>15528.445799999998</v>
      </c>
      <c r="H73" s="36" cm="1">
        <f t="array" ref="H73">SUMPRODUCT((C73&gt;tier_floor)*((C73-tier_floor)*step)*margin_rate)</f>
        <v>12278.445799999998</v>
      </c>
      <c r="I73" s="37">
        <f t="shared" si="10"/>
        <v>3250</v>
      </c>
      <c r="J73" s="38">
        <f t="shared" si="11"/>
        <v>2021</v>
      </c>
      <c r="K73" s="128">
        <f>(1+target)^($J73-(MIN(tbl_rep_mon[year])))</f>
        <v>1</v>
      </c>
      <c r="L73" s="35">
        <f t="shared" si="12"/>
        <v>0.42</v>
      </c>
      <c r="M73" s="37">
        <f t="shared" si="13"/>
        <v>15528.445799999998</v>
      </c>
    </row>
    <row r="74" spans="1:13" x14ac:dyDescent="0.4">
      <c r="A74" t="s">
        <v>17</v>
      </c>
      <c r="B74">
        <v>2</v>
      </c>
      <c r="C74" s="36">
        <v>46604.2</v>
      </c>
      <c r="D74" s="1">
        <v>44287</v>
      </c>
      <c r="E74" s="35">
        <f t="shared" si="7"/>
        <v>0.33</v>
      </c>
      <c r="F74" s="37">
        <f t="shared" si="8"/>
        <v>23302.1</v>
      </c>
      <c r="G74" s="37">
        <f t="shared" si="9"/>
        <v>7689.6930000000002</v>
      </c>
      <c r="H74" s="36" cm="1">
        <f t="array" ref="H74">SUMPRODUCT((C74&gt;tier_floor)*((C74-tier_floor)*step)*margin_rate)</f>
        <v>6689.6929999999993</v>
      </c>
      <c r="I74" s="37">
        <f t="shared" si="10"/>
        <v>1000.0000000000009</v>
      </c>
      <c r="J74" s="38">
        <f t="shared" si="11"/>
        <v>2021</v>
      </c>
      <c r="K74" s="128">
        <f>(1+target)^($J74-(MIN(tbl_rep_mon[year])))</f>
        <v>1</v>
      </c>
      <c r="L74" s="35">
        <f t="shared" si="12"/>
        <v>0.33</v>
      </c>
      <c r="M74" s="37">
        <f t="shared" si="13"/>
        <v>7689.6930000000002</v>
      </c>
    </row>
    <row r="75" spans="1:13" x14ac:dyDescent="0.4">
      <c r="A75" t="s">
        <v>18</v>
      </c>
      <c r="B75">
        <v>3</v>
      </c>
      <c r="C75" s="36">
        <v>50317.37</v>
      </c>
      <c r="D75" s="1">
        <v>44287</v>
      </c>
      <c r="E75" s="35">
        <f t="shared" si="7"/>
        <v>0.42</v>
      </c>
      <c r="F75" s="37">
        <f t="shared" si="8"/>
        <v>25158.685000000001</v>
      </c>
      <c r="G75" s="37">
        <f t="shared" si="9"/>
        <v>10566.6477</v>
      </c>
      <c r="H75" s="36" cm="1">
        <f t="array" ref="H75">SUMPRODUCT((C75&gt;tier_floor)*((C75-tier_floor)*step)*margin_rate)</f>
        <v>7316.6477000000004</v>
      </c>
      <c r="I75" s="37">
        <f t="shared" si="10"/>
        <v>3249.9999999999991</v>
      </c>
      <c r="J75" s="38">
        <f t="shared" si="11"/>
        <v>2021</v>
      </c>
      <c r="K75" s="128">
        <f>(1+target)^($J75-(MIN(tbl_rep_mon[year])))</f>
        <v>1</v>
      </c>
      <c r="L75" s="35">
        <f t="shared" si="12"/>
        <v>0.42</v>
      </c>
      <c r="M75" s="37">
        <f t="shared" si="13"/>
        <v>10566.6477</v>
      </c>
    </row>
    <row r="76" spans="1:13" x14ac:dyDescent="0.4">
      <c r="A76" t="s">
        <v>19</v>
      </c>
      <c r="B76">
        <v>4</v>
      </c>
      <c r="C76" s="36">
        <v>59174.53</v>
      </c>
      <c r="D76" s="1">
        <v>44287</v>
      </c>
      <c r="E76" s="35">
        <f t="shared" si="7"/>
        <v>0.42</v>
      </c>
      <c r="F76" s="37">
        <f t="shared" si="8"/>
        <v>29587.264999999999</v>
      </c>
      <c r="G76" s="37">
        <f t="shared" si="9"/>
        <v>12426.6513</v>
      </c>
      <c r="H76" s="36" cm="1">
        <f t="array" ref="H76">SUMPRODUCT((C76&gt;tier_floor)*((C76-tier_floor)*step)*margin_rate)</f>
        <v>9176.6512999999995</v>
      </c>
      <c r="I76" s="37">
        <f t="shared" si="10"/>
        <v>3250</v>
      </c>
      <c r="J76" s="38">
        <f t="shared" si="11"/>
        <v>2021</v>
      </c>
      <c r="K76" s="128">
        <f>(1+target)^($J76-(MIN(tbl_rep_mon[year])))</f>
        <v>1</v>
      </c>
      <c r="L76" s="35">
        <f t="shared" si="12"/>
        <v>0.42</v>
      </c>
      <c r="M76" s="37">
        <f t="shared" si="13"/>
        <v>12426.6513</v>
      </c>
    </row>
    <row r="77" spans="1:13" x14ac:dyDescent="0.4">
      <c r="A77" t="s">
        <v>20</v>
      </c>
      <c r="B77">
        <v>4</v>
      </c>
      <c r="C77" s="36">
        <v>41584.839999999997</v>
      </c>
      <c r="D77" s="1">
        <v>44287</v>
      </c>
      <c r="E77" s="35">
        <f t="shared" si="7"/>
        <v>0.33</v>
      </c>
      <c r="F77" s="37">
        <f t="shared" si="8"/>
        <v>20792.419999999998</v>
      </c>
      <c r="G77" s="37">
        <f t="shared" si="9"/>
        <v>6861.4985999999999</v>
      </c>
      <c r="H77" s="36" cm="1">
        <f t="array" ref="H77">SUMPRODUCT((C77&gt;tier_floor)*((C77-tier_floor)*step)*margin_rate)</f>
        <v>5861.4985999999999</v>
      </c>
      <c r="I77" s="37">
        <f t="shared" si="10"/>
        <v>1000</v>
      </c>
      <c r="J77" s="38">
        <f t="shared" si="11"/>
        <v>2021</v>
      </c>
      <c r="K77" s="128">
        <f>(1+target)^($J77-(MIN(tbl_rep_mon[year])))</f>
        <v>1</v>
      </c>
      <c r="L77" s="35">
        <f t="shared" si="12"/>
        <v>0.33</v>
      </c>
      <c r="M77" s="37">
        <f t="shared" si="13"/>
        <v>6861.4985999999999</v>
      </c>
    </row>
    <row r="78" spans="1:13" x14ac:dyDescent="0.4">
      <c r="A78" t="s">
        <v>21</v>
      </c>
      <c r="B78">
        <v>4</v>
      </c>
      <c r="C78" s="36">
        <v>50176.77</v>
      </c>
      <c r="D78" s="1">
        <v>44287</v>
      </c>
      <c r="E78" s="35">
        <f t="shared" si="7"/>
        <v>0.42</v>
      </c>
      <c r="F78" s="37">
        <f t="shared" si="8"/>
        <v>25088.384999999998</v>
      </c>
      <c r="G78" s="37">
        <f t="shared" si="9"/>
        <v>10537.1217</v>
      </c>
      <c r="H78" s="36" cm="1">
        <f t="array" ref="H78">SUMPRODUCT((C78&gt;tier_floor)*((C78-tier_floor)*step)*margin_rate)</f>
        <v>7287.1216999999997</v>
      </c>
      <c r="I78" s="37">
        <f t="shared" si="10"/>
        <v>3250</v>
      </c>
      <c r="J78" s="38">
        <f t="shared" si="11"/>
        <v>2021</v>
      </c>
      <c r="K78" s="128">
        <f>(1+target)^($J78-(MIN(tbl_rep_mon[year])))</f>
        <v>1</v>
      </c>
      <c r="L78" s="35">
        <f t="shared" si="12"/>
        <v>0.42</v>
      </c>
      <c r="M78" s="37">
        <f t="shared" si="13"/>
        <v>10537.1217</v>
      </c>
    </row>
    <row r="79" spans="1:13" x14ac:dyDescent="0.4">
      <c r="A79" t="s">
        <v>22</v>
      </c>
      <c r="B79">
        <v>4</v>
      </c>
      <c r="C79" s="36">
        <v>54747.45</v>
      </c>
      <c r="D79" s="1">
        <v>44287</v>
      </c>
      <c r="E79" s="35">
        <f t="shared" si="7"/>
        <v>0.42</v>
      </c>
      <c r="F79" s="37">
        <f t="shared" si="8"/>
        <v>27373.724999999999</v>
      </c>
      <c r="G79" s="37">
        <f t="shared" si="9"/>
        <v>11496.964499999998</v>
      </c>
      <c r="H79" s="36" cm="1">
        <f t="array" ref="H79">SUMPRODUCT((C79&gt;tier_floor)*((C79-tier_floor)*step)*margin_rate)</f>
        <v>8246.9645</v>
      </c>
      <c r="I79" s="37">
        <f t="shared" si="10"/>
        <v>3249.9999999999982</v>
      </c>
      <c r="J79" s="38">
        <f t="shared" si="11"/>
        <v>2021</v>
      </c>
      <c r="K79" s="128">
        <f>(1+target)^($J79-(MIN(tbl_rep_mon[year])))</f>
        <v>1</v>
      </c>
      <c r="L79" s="35">
        <f t="shared" si="12"/>
        <v>0.42</v>
      </c>
      <c r="M79" s="37">
        <f t="shared" si="13"/>
        <v>11496.964499999998</v>
      </c>
    </row>
    <row r="80" spans="1:13" x14ac:dyDescent="0.4">
      <c r="A80" t="s">
        <v>23</v>
      </c>
      <c r="B80">
        <v>1</v>
      </c>
      <c r="C80" s="36">
        <v>78560.37</v>
      </c>
      <c r="D80" s="1">
        <v>44287</v>
      </c>
      <c r="E80" s="35">
        <f t="shared" si="7"/>
        <v>0.51</v>
      </c>
      <c r="F80" s="37">
        <f t="shared" si="8"/>
        <v>39280.184999999998</v>
      </c>
      <c r="G80" s="37">
        <f t="shared" si="9"/>
        <v>20032.894349999999</v>
      </c>
      <c r="H80" s="36" cm="1">
        <f t="array" ref="H80">SUMPRODUCT((C80&gt;tier_floor)*((C80-tier_floor)*step)*margin_rate)</f>
        <v>13407.89435</v>
      </c>
      <c r="I80" s="37">
        <f t="shared" si="10"/>
        <v>6624.9999999999982</v>
      </c>
      <c r="J80" s="38">
        <f t="shared" si="11"/>
        <v>2021</v>
      </c>
      <c r="K80" s="128">
        <f>(1+target)^($J80-(MIN(tbl_rep_mon[year])))</f>
        <v>1</v>
      </c>
      <c r="L80" s="35">
        <f t="shared" si="12"/>
        <v>0.51</v>
      </c>
      <c r="M80" s="37">
        <f t="shared" si="13"/>
        <v>20032.894349999999</v>
      </c>
    </row>
    <row r="81" spans="1:13" x14ac:dyDescent="0.4">
      <c r="A81" t="s">
        <v>24</v>
      </c>
      <c r="B81">
        <v>3</v>
      </c>
      <c r="C81" s="36">
        <v>48646.71</v>
      </c>
      <c r="D81" s="1">
        <v>44287</v>
      </c>
      <c r="E81" s="35">
        <f t="shared" si="7"/>
        <v>0.33</v>
      </c>
      <c r="F81" s="37">
        <f t="shared" si="8"/>
        <v>24323.355</v>
      </c>
      <c r="G81" s="37">
        <f t="shared" si="9"/>
        <v>8026.7071500000002</v>
      </c>
      <c r="H81" s="36" cm="1">
        <f t="array" ref="H81">SUMPRODUCT((C81&gt;tier_floor)*((C81-tier_floor)*step)*margin_rate)</f>
        <v>7026.7071500000002</v>
      </c>
      <c r="I81" s="37">
        <f t="shared" si="10"/>
        <v>1000</v>
      </c>
      <c r="J81" s="38">
        <f t="shared" si="11"/>
        <v>2021</v>
      </c>
      <c r="K81" s="128">
        <f>(1+target)^($J81-(MIN(tbl_rep_mon[year])))</f>
        <v>1</v>
      </c>
      <c r="L81" s="35">
        <f t="shared" si="12"/>
        <v>0.33</v>
      </c>
      <c r="M81" s="37">
        <f t="shared" si="13"/>
        <v>8026.7071500000002</v>
      </c>
    </row>
    <row r="82" spans="1:13" x14ac:dyDescent="0.4">
      <c r="A82" t="s">
        <v>4</v>
      </c>
      <c r="B82">
        <v>4</v>
      </c>
      <c r="C82" s="36">
        <v>58943.28</v>
      </c>
      <c r="D82" s="1">
        <v>44317</v>
      </c>
      <c r="E82" s="35">
        <f t="shared" si="7"/>
        <v>0.42</v>
      </c>
      <c r="F82" s="37">
        <f t="shared" si="8"/>
        <v>29471.64</v>
      </c>
      <c r="G82" s="37">
        <f t="shared" si="9"/>
        <v>12378.0888</v>
      </c>
      <c r="H82" s="36" cm="1">
        <f t="array" ref="H82">SUMPRODUCT((C82&gt;tier_floor)*((C82-tier_floor)*step)*margin_rate)</f>
        <v>9128.0887999999995</v>
      </c>
      <c r="I82" s="37">
        <f t="shared" si="10"/>
        <v>3250</v>
      </c>
      <c r="J82" s="38">
        <f t="shared" si="11"/>
        <v>2021</v>
      </c>
      <c r="K82" s="128">
        <f>(1+target)^($J82-(MIN(tbl_rep_mon[year])))</f>
        <v>1</v>
      </c>
      <c r="L82" s="35">
        <f t="shared" si="12"/>
        <v>0.42</v>
      </c>
      <c r="M82" s="37">
        <f t="shared" si="13"/>
        <v>12378.0888</v>
      </c>
    </row>
    <row r="83" spans="1:13" x14ac:dyDescent="0.4">
      <c r="A83" t="s">
        <v>6</v>
      </c>
      <c r="B83">
        <v>2</v>
      </c>
      <c r="C83" s="36">
        <v>53972.83</v>
      </c>
      <c r="D83" s="1">
        <v>44317</v>
      </c>
      <c r="E83" s="35">
        <f t="shared" si="7"/>
        <v>0.42</v>
      </c>
      <c r="F83" s="37">
        <f t="shared" si="8"/>
        <v>26986.415000000001</v>
      </c>
      <c r="G83" s="37">
        <f t="shared" si="9"/>
        <v>11334.2943</v>
      </c>
      <c r="H83" s="36" cm="1">
        <f t="array" ref="H83">SUMPRODUCT((C83&gt;tier_floor)*((C83-tier_floor)*step)*margin_rate)</f>
        <v>8084.2943000000005</v>
      </c>
      <c r="I83" s="37">
        <f t="shared" si="10"/>
        <v>3249.9999999999991</v>
      </c>
      <c r="J83" s="38">
        <f t="shared" si="11"/>
        <v>2021</v>
      </c>
      <c r="K83" s="128">
        <f>(1+target)^($J83-(MIN(tbl_rep_mon[year])))</f>
        <v>1</v>
      </c>
      <c r="L83" s="35">
        <f t="shared" si="12"/>
        <v>0.42</v>
      </c>
      <c r="M83" s="37">
        <f t="shared" si="13"/>
        <v>11334.2943</v>
      </c>
    </row>
    <row r="84" spans="1:13" x14ac:dyDescent="0.4">
      <c r="A84" t="s">
        <v>7</v>
      </c>
      <c r="B84">
        <v>4</v>
      </c>
      <c r="C84" s="36">
        <v>42178.76</v>
      </c>
      <c r="D84" s="1">
        <v>44317</v>
      </c>
      <c r="E84" s="35">
        <f t="shared" si="7"/>
        <v>0.33</v>
      </c>
      <c r="F84" s="37">
        <f t="shared" si="8"/>
        <v>21089.38</v>
      </c>
      <c r="G84" s="37">
        <f t="shared" si="9"/>
        <v>6959.4954000000007</v>
      </c>
      <c r="H84" s="36" cm="1">
        <f t="array" ref="H84">SUMPRODUCT((C84&gt;tier_floor)*((C84-tier_floor)*step)*margin_rate)</f>
        <v>5959.4954000000007</v>
      </c>
      <c r="I84" s="37">
        <f t="shared" si="10"/>
        <v>1000</v>
      </c>
      <c r="J84" s="38">
        <f t="shared" si="11"/>
        <v>2021</v>
      </c>
      <c r="K84" s="128">
        <f>(1+target)^($J84-(MIN(tbl_rep_mon[year])))</f>
        <v>1</v>
      </c>
      <c r="L84" s="35">
        <f t="shared" si="12"/>
        <v>0.33</v>
      </c>
      <c r="M84" s="37">
        <f t="shared" si="13"/>
        <v>6959.4954000000007</v>
      </c>
    </row>
    <row r="85" spans="1:13" x14ac:dyDescent="0.4">
      <c r="A85" t="s">
        <v>8</v>
      </c>
      <c r="B85">
        <v>4</v>
      </c>
      <c r="C85" s="36">
        <v>51229.93</v>
      </c>
      <c r="D85" s="1">
        <v>44317</v>
      </c>
      <c r="E85" s="35">
        <f t="shared" si="7"/>
        <v>0.42</v>
      </c>
      <c r="F85" s="37">
        <f t="shared" si="8"/>
        <v>25614.965</v>
      </c>
      <c r="G85" s="37">
        <f t="shared" si="9"/>
        <v>10758.2853</v>
      </c>
      <c r="H85" s="36" cm="1">
        <f t="array" ref="H85">SUMPRODUCT((C85&gt;tier_floor)*((C85-tier_floor)*step)*margin_rate)</f>
        <v>7508.2853000000005</v>
      </c>
      <c r="I85" s="37">
        <f t="shared" si="10"/>
        <v>3249.9999999999991</v>
      </c>
      <c r="J85" s="38">
        <f t="shared" si="11"/>
        <v>2021</v>
      </c>
      <c r="K85" s="128">
        <f>(1+target)^($J85-(MIN(tbl_rep_mon[year])))</f>
        <v>1</v>
      </c>
      <c r="L85" s="35">
        <f t="shared" si="12"/>
        <v>0.42</v>
      </c>
      <c r="M85" s="37">
        <f t="shared" si="13"/>
        <v>10758.2853</v>
      </c>
    </row>
    <row r="86" spans="1:13" x14ac:dyDescent="0.4">
      <c r="A86" t="s">
        <v>10</v>
      </c>
      <c r="B86">
        <v>3</v>
      </c>
      <c r="C86" s="36">
        <v>73971.22</v>
      </c>
      <c r="D86" s="1">
        <v>44317</v>
      </c>
      <c r="E86" s="35">
        <f t="shared" si="7"/>
        <v>0.42</v>
      </c>
      <c r="F86" s="37">
        <f t="shared" si="8"/>
        <v>36985.61</v>
      </c>
      <c r="G86" s="37">
        <f t="shared" si="9"/>
        <v>15533.956200000001</v>
      </c>
      <c r="H86" s="36" cm="1">
        <f t="array" ref="H86">SUMPRODUCT((C86&gt;tier_floor)*((C86-tier_floor)*step)*margin_rate)</f>
        <v>12283.956200000001</v>
      </c>
      <c r="I86" s="37">
        <f t="shared" si="10"/>
        <v>3250</v>
      </c>
      <c r="J86" s="38">
        <f t="shared" si="11"/>
        <v>2021</v>
      </c>
      <c r="K86" s="128">
        <f>(1+target)^($J86-(MIN(tbl_rep_mon[year])))</f>
        <v>1</v>
      </c>
      <c r="L86" s="35">
        <f t="shared" si="12"/>
        <v>0.42</v>
      </c>
      <c r="M86" s="37">
        <f t="shared" si="13"/>
        <v>15533.956200000001</v>
      </c>
    </row>
    <row r="87" spans="1:13" x14ac:dyDescent="0.4">
      <c r="A87" t="s">
        <v>11</v>
      </c>
      <c r="B87">
        <v>1</v>
      </c>
      <c r="C87" s="36">
        <v>43524.02</v>
      </c>
      <c r="D87" s="1">
        <v>44317</v>
      </c>
      <c r="E87" s="35">
        <f t="shared" si="7"/>
        <v>0.33</v>
      </c>
      <c r="F87" s="37">
        <f t="shared" si="8"/>
        <v>21762.01</v>
      </c>
      <c r="G87" s="37">
        <f t="shared" si="9"/>
        <v>7181.4632999999994</v>
      </c>
      <c r="H87" s="36" cm="1">
        <f t="array" ref="H87">SUMPRODUCT((C87&gt;tier_floor)*((C87-tier_floor)*step)*margin_rate)</f>
        <v>6181.4632999999994</v>
      </c>
      <c r="I87" s="37">
        <f t="shared" si="10"/>
        <v>1000</v>
      </c>
      <c r="J87" s="38">
        <f t="shared" si="11"/>
        <v>2021</v>
      </c>
      <c r="K87" s="128">
        <f>(1+target)^($J87-(MIN(tbl_rep_mon[year])))</f>
        <v>1</v>
      </c>
      <c r="L87" s="35">
        <f t="shared" si="12"/>
        <v>0.33</v>
      </c>
      <c r="M87" s="37">
        <f t="shared" si="13"/>
        <v>7181.4632999999994</v>
      </c>
    </row>
    <row r="88" spans="1:13" x14ac:dyDescent="0.4">
      <c r="A88" t="s">
        <v>12</v>
      </c>
      <c r="B88">
        <v>2</v>
      </c>
      <c r="C88" s="36">
        <v>50002.44</v>
      </c>
      <c r="D88" s="1">
        <v>44317</v>
      </c>
      <c r="E88" s="35">
        <f t="shared" si="7"/>
        <v>0.42</v>
      </c>
      <c r="F88" s="37">
        <f t="shared" si="8"/>
        <v>25001.22</v>
      </c>
      <c r="G88" s="37">
        <f t="shared" si="9"/>
        <v>10500.5124</v>
      </c>
      <c r="H88" s="36" cm="1">
        <f t="array" ref="H88">SUMPRODUCT((C88&gt;tier_floor)*((C88-tier_floor)*step)*margin_rate)</f>
        <v>7250.5124000000005</v>
      </c>
      <c r="I88" s="37">
        <f t="shared" si="10"/>
        <v>3249.9999999999991</v>
      </c>
      <c r="J88" s="38">
        <f t="shared" si="11"/>
        <v>2021</v>
      </c>
      <c r="K88" s="128">
        <f>(1+target)^($J88-(MIN(tbl_rep_mon[year])))</f>
        <v>1</v>
      </c>
      <c r="L88" s="35">
        <f t="shared" si="12"/>
        <v>0.42</v>
      </c>
      <c r="M88" s="37">
        <f t="shared" si="13"/>
        <v>10500.5124</v>
      </c>
    </row>
    <row r="89" spans="1:13" x14ac:dyDescent="0.4">
      <c r="A89" t="s">
        <v>13</v>
      </c>
      <c r="B89">
        <v>2</v>
      </c>
      <c r="C89" s="36">
        <v>60108.75</v>
      </c>
      <c r="D89" s="1">
        <v>44317</v>
      </c>
      <c r="E89" s="35">
        <f t="shared" si="7"/>
        <v>0.42</v>
      </c>
      <c r="F89" s="37">
        <f t="shared" si="8"/>
        <v>30054.375</v>
      </c>
      <c r="G89" s="37">
        <f t="shared" si="9"/>
        <v>12622.8375</v>
      </c>
      <c r="H89" s="36" cm="1">
        <f t="array" ref="H89">SUMPRODUCT((C89&gt;tier_floor)*((C89-tier_floor)*step)*margin_rate)</f>
        <v>9372.8374999999996</v>
      </c>
      <c r="I89" s="37">
        <f t="shared" si="10"/>
        <v>3250</v>
      </c>
      <c r="J89" s="38">
        <f t="shared" si="11"/>
        <v>2021</v>
      </c>
      <c r="K89" s="128">
        <f>(1+target)^($J89-(MIN(tbl_rep_mon[year])))</f>
        <v>1</v>
      </c>
      <c r="L89" s="35">
        <f t="shared" si="12"/>
        <v>0.42</v>
      </c>
      <c r="M89" s="37">
        <f t="shared" si="13"/>
        <v>12622.8375</v>
      </c>
    </row>
    <row r="90" spans="1:13" x14ac:dyDescent="0.4">
      <c r="A90" t="s">
        <v>14</v>
      </c>
      <c r="B90">
        <v>4</v>
      </c>
      <c r="C90" s="36">
        <v>39199.11</v>
      </c>
      <c r="D90" s="1">
        <v>44317</v>
      </c>
      <c r="E90" s="35">
        <f t="shared" si="7"/>
        <v>0.33</v>
      </c>
      <c r="F90" s="37">
        <f t="shared" si="8"/>
        <v>19599.555</v>
      </c>
      <c r="G90" s="37">
        <f t="shared" si="9"/>
        <v>6467.8531500000008</v>
      </c>
      <c r="H90" s="36" cm="1">
        <f t="array" ref="H90">SUMPRODUCT((C90&gt;tier_floor)*((C90-tier_floor)*step)*margin_rate)</f>
        <v>5467.8531499999999</v>
      </c>
      <c r="I90" s="37">
        <f t="shared" si="10"/>
        <v>1000.0000000000009</v>
      </c>
      <c r="J90" s="38">
        <f t="shared" si="11"/>
        <v>2021</v>
      </c>
      <c r="K90" s="128">
        <f>(1+target)^($J90-(MIN(tbl_rep_mon[year])))</f>
        <v>1</v>
      </c>
      <c r="L90" s="35">
        <f t="shared" si="12"/>
        <v>0.33</v>
      </c>
      <c r="M90" s="37">
        <f t="shared" si="13"/>
        <v>6467.8531500000008</v>
      </c>
    </row>
    <row r="91" spans="1:13" x14ac:dyDescent="0.4">
      <c r="A91" t="s">
        <v>15</v>
      </c>
      <c r="B91">
        <v>3</v>
      </c>
      <c r="C91" s="36">
        <v>89356.98</v>
      </c>
      <c r="D91" s="1">
        <v>44317</v>
      </c>
      <c r="E91" s="35">
        <f t="shared" si="7"/>
        <v>0.51</v>
      </c>
      <c r="F91" s="37">
        <f t="shared" si="8"/>
        <v>44678.49</v>
      </c>
      <c r="G91" s="37">
        <f t="shared" si="9"/>
        <v>22786.029899999998</v>
      </c>
      <c r="H91" s="36" cm="1">
        <f t="array" ref="H91">SUMPRODUCT((C91&gt;tier_floor)*((C91-tier_floor)*step)*margin_rate)</f>
        <v>16161.0299</v>
      </c>
      <c r="I91" s="37">
        <f t="shared" si="10"/>
        <v>6624.9999999999982</v>
      </c>
      <c r="J91" s="38">
        <f t="shared" si="11"/>
        <v>2021</v>
      </c>
      <c r="K91" s="128">
        <f>(1+target)^($J91-(MIN(tbl_rep_mon[year])))</f>
        <v>1</v>
      </c>
      <c r="L91" s="35">
        <f t="shared" si="12"/>
        <v>0.51</v>
      </c>
      <c r="M91" s="37">
        <f t="shared" si="13"/>
        <v>22786.029899999998</v>
      </c>
    </row>
    <row r="92" spans="1:13" x14ac:dyDescent="0.4">
      <c r="A92" t="s">
        <v>16</v>
      </c>
      <c r="B92">
        <v>3</v>
      </c>
      <c r="C92" s="36">
        <v>81249.78</v>
      </c>
      <c r="D92" s="1">
        <v>44317</v>
      </c>
      <c r="E92" s="35">
        <f t="shared" si="7"/>
        <v>0.51</v>
      </c>
      <c r="F92" s="37">
        <f t="shared" si="8"/>
        <v>40624.89</v>
      </c>
      <c r="G92" s="37">
        <f t="shared" si="9"/>
        <v>20718.693899999998</v>
      </c>
      <c r="H92" s="36" cm="1">
        <f t="array" ref="H92">SUMPRODUCT((C92&gt;tier_floor)*((C92-tier_floor)*step)*margin_rate)</f>
        <v>14093.6939</v>
      </c>
      <c r="I92" s="37">
        <f t="shared" si="10"/>
        <v>6624.9999999999982</v>
      </c>
      <c r="J92" s="38">
        <f t="shared" si="11"/>
        <v>2021</v>
      </c>
      <c r="K92" s="128">
        <f>(1+target)^($J92-(MIN(tbl_rep_mon[year])))</f>
        <v>1</v>
      </c>
      <c r="L92" s="35">
        <f t="shared" si="12"/>
        <v>0.51</v>
      </c>
      <c r="M92" s="37">
        <f t="shared" si="13"/>
        <v>20718.693899999998</v>
      </c>
    </row>
    <row r="93" spans="1:13" x14ac:dyDescent="0.4">
      <c r="A93" t="s">
        <v>18</v>
      </c>
      <c r="B93">
        <v>3</v>
      </c>
      <c r="C93" s="36">
        <v>56835.26</v>
      </c>
      <c r="D93" s="1">
        <v>44317</v>
      </c>
      <c r="E93" s="35">
        <f t="shared" si="7"/>
        <v>0.42</v>
      </c>
      <c r="F93" s="37">
        <f t="shared" si="8"/>
        <v>28417.63</v>
      </c>
      <c r="G93" s="37">
        <f t="shared" si="9"/>
        <v>11935.4046</v>
      </c>
      <c r="H93" s="36" cm="1">
        <f t="array" ref="H93">SUMPRODUCT((C93&gt;tier_floor)*((C93-tier_floor)*step)*margin_rate)</f>
        <v>8685.4045999999998</v>
      </c>
      <c r="I93" s="37">
        <f t="shared" si="10"/>
        <v>3250</v>
      </c>
      <c r="J93" s="38">
        <f t="shared" si="11"/>
        <v>2021</v>
      </c>
      <c r="K93" s="128">
        <f>(1+target)^($J93-(MIN(tbl_rep_mon[year])))</f>
        <v>1</v>
      </c>
      <c r="L93" s="35">
        <f t="shared" si="12"/>
        <v>0.42</v>
      </c>
      <c r="M93" s="37">
        <f t="shared" si="13"/>
        <v>11935.4046</v>
      </c>
    </row>
    <row r="94" spans="1:13" x14ac:dyDescent="0.4">
      <c r="A94" t="s">
        <v>19</v>
      </c>
      <c r="B94">
        <v>4</v>
      </c>
      <c r="C94" s="36">
        <v>56979.8</v>
      </c>
      <c r="D94" s="1">
        <v>44317</v>
      </c>
      <c r="E94" s="35">
        <f t="shared" si="7"/>
        <v>0.42</v>
      </c>
      <c r="F94" s="37">
        <f t="shared" si="8"/>
        <v>28489.9</v>
      </c>
      <c r="G94" s="37">
        <f t="shared" si="9"/>
        <v>11965.758</v>
      </c>
      <c r="H94" s="36" cm="1">
        <f t="array" ref="H94">SUMPRODUCT((C94&gt;tier_floor)*((C94-tier_floor)*step)*margin_rate)</f>
        <v>8715.7580000000016</v>
      </c>
      <c r="I94" s="37">
        <f t="shared" si="10"/>
        <v>3249.9999999999982</v>
      </c>
      <c r="J94" s="38">
        <f t="shared" si="11"/>
        <v>2021</v>
      </c>
      <c r="K94" s="128">
        <f>(1+target)^($J94-(MIN(tbl_rep_mon[year])))</f>
        <v>1</v>
      </c>
      <c r="L94" s="35">
        <f t="shared" si="12"/>
        <v>0.42</v>
      </c>
      <c r="M94" s="37">
        <f t="shared" si="13"/>
        <v>11965.758</v>
      </c>
    </row>
    <row r="95" spans="1:13" x14ac:dyDescent="0.4">
      <c r="A95" t="s">
        <v>20</v>
      </c>
      <c r="B95">
        <v>4</v>
      </c>
      <c r="C95" s="36">
        <v>52941.64</v>
      </c>
      <c r="D95" s="1">
        <v>44317</v>
      </c>
      <c r="E95" s="35">
        <f t="shared" si="7"/>
        <v>0.42</v>
      </c>
      <c r="F95" s="37">
        <f t="shared" si="8"/>
        <v>26470.82</v>
      </c>
      <c r="G95" s="37">
        <f t="shared" si="9"/>
        <v>11117.7444</v>
      </c>
      <c r="H95" s="36" cm="1">
        <f t="array" ref="H95">SUMPRODUCT((C95&gt;tier_floor)*((C95-tier_floor)*step)*margin_rate)</f>
        <v>7867.7444000000005</v>
      </c>
      <c r="I95" s="37">
        <f t="shared" si="10"/>
        <v>3249.9999999999991</v>
      </c>
      <c r="J95" s="38">
        <f t="shared" si="11"/>
        <v>2021</v>
      </c>
      <c r="K95" s="128">
        <f>(1+target)^($J95-(MIN(tbl_rep_mon[year])))</f>
        <v>1</v>
      </c>
      <c r="L95" s="35">
        <f t="shared" si="12"/>
        <v>0.42</v>
      </c>
      <c r="M95" s="37">
        <f t="shared" si="13"/>
        <v>11117.7444</v>
      </c>
    </row>
    <row r="96" spans="1:13" x14ac:dyDescent="0.4">
      <c r="A96" t="s">
        <v>21</v>
      </c>
      <c r="B96">
        <v>4</v>
      </c>
      <c r="C96" s="36">
        <v>58046.9</v>
      </c>
      <c r="D96" s="1">
        <v>44317</v>
      </c>
      <c r="E96" s="35">
        <f t="shared" si="7"/>
        <v>0.42</v>
      </c>
      <c r="F96" s="37">
        <f t="shared" si="8"/>
        <v>29023.45</v>
      </c>
      <c r="G96" s="37">
        <f t="shared" si="9"/>
        <v>12189.849</v>
      </c>
      <c r="H96" s="36" cm="1">
        <f t="array" ref="H96">SUMPRODUCT((C96&gt;tier_floor)*((C96-tier_floor)*step)*margin_rate)</f>
        <v>8939.8490000000002</v>
      </c>
      <c r="I96" s="37">
        <f t="shared" si="10"/>
        <v>3250</v>
      </c>
      <c r="J96" s="38">
        <f t="shared" si="11"/>
        <v>2021</v>
      </c>
      <c r="K96" s="128">
        <f>(1+target)^($J96-(MIN(tbl_rep_mon[year])))</f>
        <v>1</v>
      </c>
      <c r="L96" s="35">
        <f t="shared" si="12"/>
        <v>0.42</v>
      </c>
      <c r="M96" s="37">
        <f t="shared" si="13"/>
        <v>12189.849</v>
      </c>
    </row>
    <row r="97" spans="1:13" x14ac:dyDescent="0.4">
      <c r="A97" t="s">
        <v>22</v>
      </c>
      <c r="B97">
        <v>4</v>
      </c>
      <c r="C97" s="36">
        <v>61618.11</v>
      </c>
      <c r="D97" s="1">
        <v>44317</v>
      </c>
      <c r="E97" s="35">
        <f t="shared" si="7"/>
        <v>0.42</v>
      </c>
      <c r="F97" s="37">
        <f t="shared" si="8"/>
        <v>30809.055</v>
      </c>
      <c r="G97" s="37">
        <f t="shared" si="9"/>
        <v>12939.803099999999</v>
      </c>
      <c r="H97" s="36" cm="1">
        <f t="array" ref="H97">SUMPRODUCT((C97&gt;tier_floor)*((C97-tier_floor)*step)*margin_rate)</f>
        <v>9689.803100000001</v>
      </c>
      <c r="I97" s="37">
        <f t="shared" si="10"/>
        <v>3249.9999999999982</v>
      </c>
      <c r="J97" s="38">
        <f t="shared" si="11"/>
        <v>2021</v>
      </c>
      <c r="K97" s="128">
        <f>(1+target)^($J97-(MIN(tbl_rep_mon[year])))</f>
        <v>1</v>
      </c>
      <c r="L97" s="35">
        <f t="shared" si="12"/>
        <v>0.42</v>
      </c>
      <c r="M97" s="37">
        <f t="shared" si="13"/>
        <v>12939.803099999999</v>
      </c>
    </row>
    <row r="98" spans="1:13" x14ac:dyDescent="0.4">
      <c r="A98" t="s">
        <v>23</v>
      </c>
      <c r="B98">
        <v>1</v>
      </c>
      <c r="C98" s="36">
        <v>123235.11</v>
      </c>
      <c r="D98" s="1">
        <v>44317</v>
      </c>
      <c r="E98" s="35">
        <f t="shared" si="7"/>
        <v>0.6</v>
      </c>
      <c r="F98" s="37">
        <f t="shared" si="8"/>
        <v>61617.555</v>
      </c>
      <c r="G98" s="37">
        <f t="shared" si="9"/>
        <v>36970.532999999996</v>
      </c>
      <c r="H98" s="36" cm="1">
        <f t="array" ref="H98">SUMPRODUCT((C98&gt;tier_floor)*((C98-tier_floor)*step)*margin_rate)</f>
        <v>25845.532999999999</v>
      </c>
      <c r="I98" s="37">
        <f t="shared" si="10"/>
        <v>11124.999999999996</v>
      </c>
      <c r="J98" s="38">
        <f t="shared" si="11"/>
        <v>2021</v>
      </c>
      <c r="K98" s="128">
        <f>(1+target)^($J98-(MIN(tbl_rep_mon[year])))</f>
        <v>1</v>
      </c>
      <c r="L98" s="35">
        <f t="shared" si="12"/>
        <v>0.6</v>
      </c>
      <c r="M98" s="37">
        <f t="shared" si="13"/>
        <v>36970.532999999996</v>
      </c>
    </row>
    <row r="99" spans="1:13" x14ac:dyDescent="0.4">
      <c r="A99" t="s">
        <v>24</v>
      </c>
      <c r="B99">
        <v>3</v>
      </c>
      <c r="C99" s="36">
        <v>42135.71</v>
      </c>
      <c r="D99" s="1">
        <v>44317</v>
      </c>
      <c r="E99" s="35">
        <f t="shared" si="7"/>
        <v>0.33</v>
      </c>
      <c r="F99" s="37">
        <f t="shared" si="8"/>
        <v>21067.855</v>
      </c>
      <c r="G99" s="37">
        <f t="shared" si="9"/>
        <v>6952.3921500000006</v>
      </c>
      <c r="H99" s="36" cm="1">
        <f t="array" ref="H99">SUMPRODUCT((C99&gt;tier_floor)*((C99-tier_floor)*step)*margin_rate)</f>
        <v>5952.3921499999997</v>
      </c>
      <c r="I99" s="37">
        <f t="shared" si="10"/>
        <v>1000.0000000000009</v>
      </c>
      <c r="J99" s="38">
        <f t="shared" si="11"/>
        <v>2021</v>
      </c>
      <c r="K99" s="128">
        <f>(1+target)^($J99-(MIN(tbl_rep_mon[year])))</f>
        <v>1</v>
      </c>
      <c r="L99" s="35">
        <f t="shared" si="12"/>
        <v>0.33</v>
      </c>
      <c r="M99" s="37">
        <f t="shared" si="13"/>
        <v>6952.3921500000006</v>
      </c>
    </row>
    <row r="100" spans="1:13" x14ac:dyDescent="0.4">
      <c r="A100" t="s">
        <v>25</v>
      </c>
      <c r="B100">
        <v>2</v>
      </c>
      <c r="C100" s="36">
        <v>39047.68</v>
      </c>
      <c r="D100" s="1">
        <v>44317</v>
      </c>
      <c r="E100" s="35">
        <f t="shared" si="7"/>
        <v>0.33</v>
      </c>
      <c r="F100" s="37">
        <f t="shared" si="8"/>
        <v>19523.84</v>
      </c>
      <c r="G100" s="37">
        <f t="shared" si="9"/>
        <v>6442.8672000000006</v>
      </c>
      <c r="H100" s="36" cm="1">
        <f t="array" ref="H100">SUMPRODUCT((C100&gt;tier_floor)*((C100-tier_floor)*step)*margin_rate)</f>
        <v>5442.8672000000006</v>
      </c>
      <c r="I100" s="37">
        <f t="shared" si="10"/>
        <v>1000</v>
      </c>
      <c r="J100" s="38">
        <f t="shared" si="11"/>
        <v>2021</v>
      </c>
      <c r="K100" s="128">
        <f>(1+target)^($J100-(MIN(tbl_rep_mon[year])))</f>
        <v>1</v>
      </c>
      <c r="L100" s="35">
        <f t="shared" si="12"/>
        <v>0.33</v>
      </c>
      <c r="M100" s="37">
        <f t="shared" si="13"/>
        <v>6442.8672000000006</v>
      </c>
    </row>
    <row r="101" spans="1:13" x14ac:dyDescent="0.4">
      <c r="A101" t="s">
        <v>26</v>
      </c>
      <c r="B101">
        <v>2</v>
      </c>
      <c r="C101" s="36">
        <v>26430.25</v>
      </c>
      <c r="D101" s="1">
        <v>44317</v>
      </c>
      <c r="E101" s="35">
        <f t="shared" si="7"/>
        <v>0.33</v>
      </c>
      <c r="F101" s="37">
        <f t="shared" si="8"/>
        <v>13215.125</v>
      </c>
      <c r="G101" s="37">
        <f t="shared" si="9"/>
        <v>4360.99125</v>
      </c>
      <c r="H101" s="36" cm="1">
        <f t="array" ref="H101">SUMPRODUCT((C101&gt;tier_floor)*((C101-tier_floor)*step)*margin_rate)</f>
        <v>3360.99125</v>
      </c>
      <c r="I101" s="37">
        <f t="shared" si="10"/>
        <v>1000</v>
      </c>
      <c r="J101" s="38">
        <f t="shared" si="11"/>
        <v>2021</v>
      </c>
      <c r="K101" s="128">
        <f>(1+target)^($J101-(MIN(tbl_rep_mon[year])))</f>
        <v>1</v>
      </c>
      <c r="L101" s="35">
        <f t="shared" si="12"/>
        <v>0.33</v>
      </c>
      <c r="M101" s="37">
        <f t="shared" si="13"/>
        <v>4360.99125</v>
      </c>
    </row>
    <row r="102" spans="1:13" x14ac:dyDescent="0.4">
      <c r="A102" t="s">
        <v>4</v>
      </c>
      <c r="B102">
        <v>4</v>
      </c>
      <c r="C102" s="36">
        <v>73085.509999999995</v>
      </c>
      <c r="D102" s="1">
        <v>44348</v>
      </c>
      <c r="E102" s="35">
        <f t="shared" si="7"/>
        <v>0.42</v>
      </c>
      <c r="F102" s="37">
        <f t="shared" si="8"/>
        <v>36542.754999999997</v>
      </c>
      <c r="G102" s="37">
        <f t="shared" si="9"/>
        <v>15347.957099999998</v>
      </c>
      <c r="H102" s="36" cm="1">
        <f t="array" ref="H102">SUMPRODUCT((C102&gt;tier_floor)*((C102-tier_floor)*step)*margin_rate)</f>
        <v>12097.9571</v>
      </c>
      <c r="I102" s="37">
        <f t="shared" si="10"/>
        <v>3249.9999999999982</v>
      </c>
      <c r="J102" s="38">
        <f t="shared" si="11"/>
        <v>2021</v>
      </c>
      <c r="K102" s="128">
        <f>(1+target)^($J102-(MIN(tbl_rep_mon[year])))</f>
        <v>1</v>
      </c>
      <c r="L102" s="35">
        <f t="shared" si="12"/>
        <v>0.42</v>
      </c>
      <c r="M102" s="37">
        <f t="shared" si="13"/>
        <v>15347.957099999998</v>
      </c>
    </row>
    <row r="103" spans="1:13" x14ac:dyDescent="0.4">
      <c r="A103" t="s">
        <v>6</v>
      </c>
      <c r="B103">
        <v>2</v>
      </c>
      <c r="C103" s="36">
        <v>51416.13</v>
      </c>
      <c r="D103" s="1">
        <v>44348</v>
      </c>
      <c r="E103" s="35">
        <f t="shared" si="7"/>
        <v>0.42</v>
      </c>
      <c r="F103" s="37">
        <f t="shared" si="8"/>
        <v>25708.064999999999</v>
      </c>
      <c r="G103" s="37">
        <f t="shared" si="9"/>
        <v>10797.387299999999</v>
      </c>
      <c r="H103" s="36" cm="1">
        <f t="array" ref="H103">SUMPRODUCT((C103&gt;tier_floor)*((C103-tier_floor)*step)*margin_rate)</f>
        <v>7547.3872999999994</v>
      </c>
      <c r="I103" s="37">
        <f t="shared" si="10"/>
        <v>3249.9999999999991</v>
      </c>
      <c r="J103" s="38">
        <f t="shared" si="11"/>
        <v>2021</v>
      </c>
      <c r="K103" s="128">
        <f>(1+target)^($J103-(MIN(tbl_rep_mon[year])))</f>
        <v>1</v>
      </c>
      <c r="L103" s="35">
        <f t="shared" si="12"/>
        <v>0.42</v>
      </c>
      <c r="M103" s="37">
        <f t="shared" si="13"/>
        <v>10797.387299999999</v>
      </c>
    </row>
    <row r="104" spans="1:13" x14ac:dyDescent="0.4">
      <c r="A104" t="s">
        <v>7</v>
      </c>
      <c r="B104">
        <v>4</v>
      </c>
      <c r="C104" s="36">
        <v>55041.88</v>
      </c>
      <c r="D104" s="1">
        <v>44348</v>
      </c>
      <c r="E104" s="35">
        <f t="shared" si="7"/>
        <v>0.42</v>
      </c>
      <c r="F104" s="37">
        <f t="shared" si="8"/>
        <v>27520.94</v>
      </c>
      <c r="G104" s="37">
        <f t="shared" si="9"/>
        <v>11558.7948</v>
      </c>
      <c r="H104" s="36" cm="1">
        <f t="array" ref="H104">SUMPRODUCT((C104&gt;tier_floor)*((C104-tier_floor)*step)*margin_rate)</f>
        <v>8308.7947999999997</v>
      </c>
      <c r="I104" s="37">
        <f t="shared" si="10"/>
        <v>3250</v>
      </c>
      <c r="J104" s="38">
        <f t="shared" si="11"/>
        <v>2021</v>
      </c>
      <c r="K104" s="128">
        <f>(1+target)^($J104-(MIN(tbl_rep_mon[year])))</f>
        <v>1</v>
      </c>
      <c r="L104" s="35">
        <f t="shared" si="12"/>
        <v>0.42</v>
      </c>
      <c r="M104" s="37">
        <f t="shared" si="13"/>
        <v>11558.7948</v>
      </c>
    </row>
    <row r="105" spans="1:13" x14ac:dyDescent="0.4">
      <c r="A105" t="s">
        <v>8</v>
      </c>
      <c r="B105">
        <v>4</v>
      </c>
      <c r="C105" s="36">
        <v>50879.07</v>
      </c>
      <c r="D105" s="1">
        <v>44348</v>
      </c>
      <c r="E105" s="35">
        <f t="shared" si="7"/>
        <v>0.42</v>
      </c>
      <c r="F105" s="37">
        <f t="shared" si="8"/>
        <v>25439.535</v>
      </c>
      <c r="G105" s="37">
        <f t="shared" si="9"/>
        <v>10684.6047</v>
      </c>
      <c r="H105" s="36" cm="1">
        <f t="array" ref="H105">SUMPRODUCT((C105&gt;tier_floor)*((C105-tier_floor)*step)*margin_rate)</f>
        <v>7434.6046999999999</v>
      </c>
      <c r="I105" s="37">
        <f t="shared" si="10"/>
        <v>3250</v>
      </c>
      <c r="J105" s="38">
        <f t="shared" si="11"/>
        <v>2021</v>
      </c>
      <c r="K105" s="128">
        <f>(1+target)^($J105-(MIN(tbl_rep_mon[year])))</f>
        <v>1</v>
      </c>
      <c r="L105" s="35">
        <f t="shared" si="12"/>
        <v>0.42</v>
      </c>
      <c r="M105" s="37">
        <f t="shared" si="13"/>
        <v>10684.6047</v>
      </c>
    </row>
    <row r="106" spans="1:13" x14ac:dyDescent="0.4">
      <c r="A106" t="s">
        <v>10</v>
      </c>
      <c r="B106">
        <v>3</v>
      </c>
      <c r="C106" s="36">
        <v>61865.55</v>
      </c>
      <c r="D106" s="1">
        <v>44348</v>
      </c>
      <c r="E106" s="35">
        <f t="shared" si="7"/>
        <v>0.42</v>
      </c>
      <c r="F106" s="37">
        <f t="shared" si="8"/>
        <v>30932.775000000001</v>
      </c>
      <c r="G106" s="37">
        <f t="shared" si="9"/>
        <v>12991.7655</v>
      </c>
      <c r="H106" s="36" cm="1">
        <f t="array" ref="H106">SUMPRODUCT((C106&gt;tier_floor)*((C106-tier_floor)*step)*margin_rate)</f>
        <v>9741.7655000000013</v>
      </c>
      <c r="I106" s="37">
        <f t="shared" si="10"/>
        <v>3249.9999999999982</v>
      </c>
      <c r="J106" s="38">
        <f t="shared" si="11"/>
        <v>2021</v>
      </c>
      <c r="K106" s="128">
        <f>(1+target)^($J106-(MIN(tbl_rep_mon[year])))</f>
        <v>1</v>
      </c>
      <c r="L106" s="35">
        <f t="shared" si="12"/>
        <v>0.42</v>
      </c>
      <c r="M106" s="37">
        <f t="shared" si="13"/>
        <v>12991.7655</v>
      </c>
    </row>
    <row r="107" spans="1:13" x14ac:dyDescent="0.4">
      <c r="A107" t="s">
        <v>11</v>
      </c>
      <c r="B107">
        <v>1</v>
      </c>
      <c r="C107" s="36">
        <v>69563.990000000005</v>
      </c>
      <c r="D107" s="1">
        <v>44348</v>
      </c>
      <c r="E107" s="35">
        <f t="shared" si="7"/>
        <v>0.42</v>
      </c>
      <c r="F107" s="37">
        <f t="shared" si="8"/>
        <v>34781.995000000003</v>
      </c>
      <c r="G107" s="37">
        <f t="shared" si="9"/>
        <v>14608.437900000001</v>
      </c>
      <c r="H107" s="36" cm="1">
        <f t="array" ref="H107">SUMPRODUCT((C107&gt;tier_floor)*((C107-tier_floor)*step)*margin_rate)</f>
        <v>11358.437900000001</v>
      </c>
      <c r="I107" s="37">
        <f t="shared" si="10"/>
        <v>3250</v>
      </c>
      <c r="J107" s="38">
        <f t="shared" si="11"/>
        <v>2021</v>
      </c>
      <c r="K107" s="128">
        <f>(1+target)^($J107-(MIN(tbl_rep_mon[year])))</f>
        <v>1</v>
      </c>
      <c r="L107" s="35">
        <f t="shared" si="12"/>
        <v>0.42</v>
      </c>
      <c r="M107" s="37">
        <f t="shared" si="13"/>
        <v>14608.437900000001</v>
      </c>
    </row>
    <row r="108" spans="1:13" x14ac:dyDescent="0.4">
      <c r="A108" t="s">
        <v>12</v>
      </c>
      <c r="B108">
        <v>2</v>
      </c>
      <c r="C108" s="36">
        <v>49626.62</v>
      </c>
      <c r="D108" s="1">
        <v>44348</v>
      </c>
      <c r="E108" s="35">
        <f t="shared" si="7"/>
        <v>0.33</v>
      </c>
      <c r="F108" s="37">
        <f t="shared" si="8"/>
        <v>24813.31</v>
      </c>
      <c r="G108" s="37">
        <f t="shared" si="9"/>
        <v>8188.3923000000004</v>
      </c>
      <c r="H108" s="36" cm="1">
        <f t="array" ref="H108">SUMPRODUCT((C108&gt;tier_floor)*((C108-tier_floor)*step)*margin_rate)</f>
        <v>7188.3923000000004</v>
      </c>
      <c r="I108" s="37">
        <f t="shared" si="10"/>
        <v>1000</v>
      </c>
      <c r="J108" s="38">
        <f t="shared" si="11"/>
        <v>2021</v>
      </c>
      <c r="K108" s="128">
        <f>(1+target)^($J108-(MIN(tbl_rep_mon[year])))</f>
        <v>1</v>
      </c>
      <c r="L108" s="35">
        <f t="shared" si="12"/>
        <v>0.33</v>
      </c>
      <c r="M108" s="37">
        <f t="shared" si="13"/>
        <v>8188.3923000000004</v>
      </c>
    </row>
    <row r="109" spans="1:13" x14ac:dyDescent="0.4">
      <c r="A109" t="s">
        <v>13</v>
      </c>
      <c r="B109">
        <v>2</v>
      </c>
      <c r="C109" s="36">
        <v>59122.02</v>
      </c>
      <c r="D109" s="1">
        <v>44348</v>
      </c>
      <c r="E109" s="35">
        <f t="shared" si="7"/>
        <v>0.42</v>
      </c>
      <c r="F109" s="37">
        <f t="shared" si="8"/>
        <v>29561.01</v>
      </c>
      <c r="G109" s="37">
        <f t="shared" si="9"/>
        <v>12415.624199999998</v>
      </c>
      <c r="H109" s="36" cm="1">
        <f t="array" ref="H109">SUMPRODUCT((C109&gt;tier_floor)*((C109-tier_floor)*step)*margin_rate)</f>
        <v>9165.6241999999984</v>
      </c>
      <c r="I109" s="37">
        <f t="shared" si="10"/>
        <v>3250</v>
      </c>
      <c r="J109" s="38">
        <f t="shared" si="11"/>
        <v>2021</v>
      </c>
      <c r="K109" s="128">
        <f>(1+target)^($J109-(MIN(tbl_rep_mon[year])))</f>
        <v>1</v>
      </c>
      <c r="L109" s="35">
        <f t="shared" si="12"/>
        <v>0.42</v>
      </c>
      <c r="M109" s="37">
        <f t="shared" si="13"/>
        <v>12415.624199999998</v>
      </c>
    </row>
    <row r="110" spans="1:13" x14ac:dyDescent="0.4">
      <c r="A110" t="s">
        <v>14</v>
      </c>
      <c r="B110">
        <v>4</v>
      </c>
      <c r="C110" s="36">
        <v>61657.37</v>
      </c>
      <c r="D110" s="1">
        <v>44348</v>
      </c>
      <c r="E110" s="35">
        <f t="shared" si="7"/>
        <v>0.42</v>
      </c>
      <c r="F110" s="37">
        <f t="shared" si="8"/>
        <v>30828.685000000001</v>
      </c>
      <c r="G110" s="37">
        <f t="shared" si="9"/>
        <v>12948.047699999999</v>
      </c>
      <c r="H110" s="36" cm="1">
        <f t="array" ref="H110">SUMPRODUCT((C110&gt;tier_floor)*((C110-tier_floor)*step)*margin_rate)</f>
        <v>9698.047700000001</v>
      </c>
      <c r="I110" s="37">
        <f t="shared" si="10"/>
        <v>3249.9999999999982</v>
      </c>
      <c r="J110" s="38">
        <f t="shared" si="11"/>
        <v>2021</v>
      </c>
      <c r="K110" s="128">
        <f>(1+target)^($J110-(MIN(tbl_rep_mon[year])))</f>
        <v>1</v>
      </c>
      <c r="L110" s="35">
        <f t="shared" si="12"/>
        <v>0.42</v>
      </c>
      <c r="M110" s="37">
        <f t="shared" si="13"/>
        <v>12948.047699999999</v>
      </c>
    </row>
    <row r="111" spans="1:13" x14ac:dyDescent="0.4">
      <c r="A111" t="s">
        <v>15</v>
      </c>
      <c r="B111">
        <v>3</v>
      </c>
      <c r="C111" s="36">
        <v>62688.11</v>
      </c>
      <c r="D111" s="1">
        <v>44348</v>
      </c>
      <c r="E111" s="35">
        <f t="shared" si="7"/>
        <v>0.42</v>
      </c>
      <c r="F111" s="37">
        <f t="shared" si="8"/>
        <v>31344.055</v>
      </c>
      <c r="G111" s="37">
        <f t="shared" si="9"/>
        <v>13164.5031</v>
      </c>
      <c r="H111" s="36" cm="1">
        <f t="array" ref="H111">SUMPRODUCT((C111&gt;tier_floor)*((C111-tier_floor)*step)*margin_rate)</f>
        <v>9914.5030999999999</v>
      </c>
      <c r="I111" s="37">
        <f t="shared" si="10"/>
        <v>3250</v>
      </c>
      <c r="J111" s="38">
        <f t="shared" si="11"/>
        <v>2021</v>
      </c>
      <c r="K111" s="128">
        <f>(1+target)^($J111-(MIN(tbl_rep_mon[year])))</f>
        <v>1</v>
      </c>
      <c r="L111" s="35">
        <f t="shared" si="12"/>
        <v>0.42</v>
      </c>
      <c r="M111" s="37">
        <f t="shared" si="13"/>
        <v>13164.5031</v>
      </c>
    </row>
    <row r="112" spans="1:13" x14ac:dyDescent="0.4">
      <c r="A112" t="s">
        <v>16</v>
      </c>
      <c r="B112">
        <v>3</v>
      </c>
      <c r="C112" s="36">
        <v>82661.95</v>
      </c>
      <c r="D112" s="1">
        <v>44348</v>
      </c>
      <c r="E112" s="35">
        <f t="shared" si="7"/>
        <v>0.51</v>
      </c>
      <c r="F112" s="37">
        <f t="shared" si="8"/>
        <v>41330.974999999999</v>
      </c>
      <c r="G112" s="37">
        <f t="shared" si="9"/>
        <v>21078.79725</v>
      </c>
      <c r="H112" s="36" cm="1">
        <f t="array" ref="H112">SUMPRODUCT((C112&gt;tier_floor)*((C112-tier_floor)*step)*margin_rate)</f>
        <v>14453.79725</v>
      </c>
      <c r="I112" s="37">
        <f t="shared" si="10"/>
        <v>6625</v>
      </c>
      <c r="J112" s="38">
        <f t="shared" si="11"/>
        <v>2021</v>
      </c>
      <c r="K112" s="128">
        <f>(1+target)^($J112-(MIN(tbl_rep_mon[year])))</f>
        <v>1</v>
      </c>
      <c r="L112" s="35">
        <f t="shared" si="12"/>
        <v>0.51</v>
      </c>
      <c r="M112" s="37">
        <f t="shared" si="13"/>
        <v>21078.79725</v>
      </c>
    </row>
    <row r="113" spans="1:13" x14ac:dyDescent="0.4">
      <c r="A113" t="s">
        <v>18</v>
      </c>
      <c r="B113">
        <v>3</v>
      </c>
      <c r="C113" s="36">
        <v>55664.44</v>
      </c>
      <c r="D113" s="1">
        <v>44348</v>
      </c>
      <c r="E113" s="35">
        <f t="shared" si="7"/>
        <v>0.42</v>
      </c>
      <c r="F113" s="37">
        <f t="shared" si="8"/>
        <v>27832.22</v>
      </c>
      <c r="G113" s="37">
        <f t="shared" si="9"/>
        <v>11689.5324</v>
      </c>
      <c r="H113" s="36" cm="1">
        <f t="array" ref="H113">SUMPRODUCT((C113&gt;tier_floor)*((C113-tier_floor)*step)*margin_rate)</f>
        <v>8439.5324000000001</v>
      </c>
      <c r="I113" s="37">
        <f t="shared" si="10"/>
        <v>3250</v>
      </c>
      <c r="J113" s="38">
        <f t="shared" si="11"/>
        <v>2021</v>
      </c>
      <c r="K113" s="128">
        <f>(1+target)^($J113-(MIN(tbl_rep_mon[year])))</f>
        <v>1</v>
      </c>
      <c r="L113" s="35">
        <f t="shared" si="12"/>
        <v>0.42</v>
      </c>
      <c r="M113" s="37">
        <f t="shared" si="13"/>
        <v>11689.5324</v>
      </c>
    </row>
    <row r="114" spans="1:13" x14ac:dyDescent="0.4">
      <c r="A114" t="s">
        <v>19</v>
      </c>
      <c r="B114">
        <v>4</v>
      </c>
      <c r="C114" s="36">
        <v>56779.97</v>
      </c>
      <c r="D114" s="1">
        <v>44348</v>
      </c>
      <c r="E114" s="35">
        <f t="shared" si="7"/>
        <v>0.42</v>
      </c>
      <c r="F114" s="37">
        <f t="shared" si="8"/>
        <v>28389.985000000001</v>
      </c>
      <c r="G114" s="37">
        <f t="shared" si="9"/>
        <v>11923.7937</v>
      </c>
      <c r="H114" s="36" cm="1">
        <f t="array" ref="H114">SUMPRODUCT((C114&gt;tier_floor)*((C114-tier_floor)*step)*margin_rate)</f>
        <v>8673.7937000000002</v>
      </c>
      <c r="I114" s="37">
        <f t="shared" si="10"/>
        <v>3250</v>
      </c>
      <c r="J114" s="38">
        <f t="shared" si="11"/>
        <v>2021</v>
      </c>
      <c r="K114" s="128">
        <f>(1+target)^($J114-(MIN(tbl_rep_mon[year])))</f>
        <v>1</v>
      </c>
      <c r="L114" s="35">
        <f t="shared" si="12"/>
        <v>0.42</v>
      </c>
      <c r="M114" s="37">
        <f t="shared" si="13"/>
        <v>11923.7937</v>
      </c>
    </row>
    <row r="115" spans="1:13" x14ac:dyDescent="0.4">
      <c r="A115" t="s">
        <v>20</v>
      </c>
      <c r="B115">
        <v>4</v>
      </c>
      <c r="C115" s="36">
        <v>49926.61</v>
      </c>
      <c r="D115" s="1">
        <v>44348</v>
      </c>
      <c r="E115" s="35">
        <f t="shared" si="7"/>
        <v>0.33</v>
      </c>
      <c r="F115" s="37">
        <f t="shared" si="8"/>
        <v>24963.305</v>
      </c>
      <c r="G115" s="37">
        <f t="shared" si="9"/>
        <v>8237.8906500000012</v>
      </c>
      <c r="H115" s="36" cm="1">
        <f t="array" ref="H115">SUMPRODUCT((C115&gt;tier_floor)*((C115-tier_floor)*step)*margin_rate)</f>
        <v>7237.8906500000003</v>
      </c>
      <c r="I115" s="37">
        <f t="shared" si="10"/>
        <v>1000.0000000000009</v>
      </c>
      <c r="J115" s="38">
        <f t="shared" si="11"/>
        <v>2021</v>
      </c>
      <c r="K115" s="128">
        <f>(1+target)^($J115-(MIN(tbl_rep_mon[year])))</f>
        <v>1</v>
      </c>
      <c r="L115" s="35">
        <f t="shared" si="12"/>
        <v>0.33</v>
      </c>
      <c r="M115" s="37">
        <f t="shared" si="13"/>
        <v>8237.8906500000012</v>
      </c>
    </row>
    <row r="116" spans="1:13" x14ac:dyDescent="0.4">
      <c r="A116" t="s">
        <v>21</v>
      </c>
      <c r="B116">
        <v>4</v>
      </c>
      <c r="C116" s="36">
        <v>55882.26</v>
      </c>
      <c r="D116" s="1">
        <v>44348</v>
      </c>
      <c r="E116" s="35">
        <f t="shared" si="7"/>
        <v>0.42</v>
      </c>
      <c r="F116" s="37">
        <f t="shared" si="8"/>
        <v>27941.13</v>
      </c>
      <c r="G116" s="37">
        <f t="shared" si="9"/>
        <v>11735.274600000001</v>
      </c>
      <c r="H116" s="36" cm="1">
        <f t="array" ref="H116">SUMPRODUCT((C116&gt;tier_floor)*((C116-tier_floor)*step)*margin_rate)</f>
        <v>8485.2746000000006</v>
      </c>
      <c r="I116" s="37">
        <f t="shared" si="10"/>
        <v>3250</v>
      </c>
      <c r="J116" s="38">
        <f t="shared" si="11"/>
        <v>2021</v>
      </c>
      <c r="K116" s="128">
        <f>(1+target)^($J116-(MIN(tbl_rep_mon[year])))</f>
        <v>1</v>
      </c>
      <c r="L116" s="35">
        <f t="shared" si="12"/>
        <v>0.42</v>
      </c>
      <c r="M116" s="37">
        <f t="shared" si="13"/>
        <v>11735.274600000001</v>
      </c>
    </row>
    <row r="117" spans="1:13" x14ac:dyDescent="0.4">
      <c r="A117" t="s">
        <v>22</v>
      </c>
      <c r="B117">
        <v>4</v>
      </c>
      <c r="C117" s="36">
        <v>65622.03</v>
      </c>
      <c r="D117" s="1">
        <v>44348</v>
      </c>
      <c r="E117" s="35">
        <f t="shared" si="7"/>
        <v>0.42</v>
      </c>
      <c r="F117" s="37">
        <f t="shared" si="8"/>
        <v>32811.014999999999</v>
      </c>
      <c r="G117" s="37">
        <f t="shared" si="9"/>
        <v>13780.6263</v>
      </c>
      <c r="H117" s="36" cm="1">
        <f t="array" ref="H117">SUMPRODUCT((C117&gt;tier_floor)*((C117-tier_floor)*step)*margin_rate)</f>
        <v>10530.6263</v>
      </c>
      <c r="I117" s="37">
        <f t="shared" si="10"/>
        <v>3250</v>
      </c>
      <c r="J117" s="38">
        <f t="shared" si="11"/>
        <v>2021</v>
      </c>
      <c r="K117" s="128">
        <f>(1+target)^($J117-(MIN(tbl_rep_mon[year])))</f>
        <v>1</v>
      </c>
      <c r="L117" s="35">
        <f t="shared" si="12"/>
        <v>0.42</v>
      </c>
      <c r="M117" s="37">
        <f t="shared" si="13"/>
        <v>13780.6263</v>
      </c>
    </row>
    <row r="118" spans="1:13" x14ac:dyDescent="0.4">
      <c r="A118" t="s">
        <v>23</v>
      </c>
      <c r="B118">
        <v>1</v>
      </c>
      <c r="C118" s="36">
        <v>93066.93</v>
      </c>
      <c r="D118" s="1">
        <v>44348</v>
      </c>
      <c r="E118" s="35">
        <f t="shared" si="7"/>
        <v>0.51</v>
      </c>
      <c r="F118" s="37">
        <f t="shared" si="8"/>
        <v>46533.464999999997</v>
      </c>
      <c r="G118" s="37">
        <f t="shared" si="9"/>
        <v>23732.067149999999</v>
      </c>
      <c r="H118" s="36" cm="1">
        <f t="array" ref="H118">SUMPRODUCT((C118&gt;tier_floor)*((C118-tier_floor)*step)*margin_rate)</f>
        <v>17107.067149999999</v>
      </c>
      <c r="I118" s="37">
        <f t="shared" si="10"/>
        <v>6625</v>
      </c>
      <c r="J118" s="38">
        <f t="shared" si="11"/>
        <v>2021</v>
      </c>
      <c r="K118" s="128">
        <f>(1+target)^($J118-(MIN(tbl_rep_mon[year])))</f>
        <v>1</v>
      </c>
      <c r="L118" s="35">
        <f t="shared" si="12"/>
        <v>0.51</v>
      </c>
      <c r="M118" s="37">
        <f t="shared" si="13"/>
        <v>23732.067149999999</v>
      </c>
    </row>
    <row r="119" spans="1:13" x14ac:dyDescent="0.4">
      <c r="A119" t="s">
        <v>24</v>
      </c>
      <c r="B119">
        <v>3</v>
      </c>
      <c r="C119" s="36">
        <v>46728.29</v>
      </c>
      <c r="D119" s="1">
        <v>44348</v>
      </c>
      <c r="E119" s="35">
        <f t="shared" si="7"/>
        <v>0.33</v>
      </c>
      <c r="F119" s="37">
        <f t="shared" si="8"/>
        <v>23364.145</v>
      </c>
      <c r="G119" s="37">
        <f t="shared" si="9"/>
        <v>7710.1678500000007</v>
      </c>
      <c r="H119" s="36" cm="1">
        <f t="array" ref="H119">SUMPRODUCT((C119&gt;tier_floor)*((C119-tier_floor)*step)*margin_rate)</f>
        <v>6710.1678499999998</v>
      </c>
      <c r="I119" s="37">
        <f t="shared" si="10"/>
        <v>1000.0000000000009</v>
      </c>
      <c r="J119" s="38">
        <f t="shared" si="11"/>
        <v>2021</v>
      </c>
      <c r="K119" s="128">
        <f>(1+target)^($J119-(MIN(tbl_rep_mon[year])))</f>
        <v>1</v>
      </c>
      <c r="L119" s="35">
        <f t="shared" si="12"/>
        <v>0.33</v>
      </c>
      <c r="M119" s="37">
        <f t="shared" si="13"/>
        <v>7710.1678500000007</v>
      </c>
    </row>
    <row r="120" spans="1:13" x14ac:dyDescent="0.4">
      <c r="A120" t="s">
        <v>25</v>
      </c>
      <c r="B120">
        <v>2</v>
      </c>
      <c r="C120" s="36">
        <v>61160.04</v>
      </c>
      <c r="D120" s="1">
        <v>44348</v>
      </c>
      <c r="E120" s="35">
        <f t="shared" si="7"/>
        <v>0.42</v>
      </c>
      <c r="F120" s="37">
        <f t="shared" si="8"/>
        <v>30580.02</v>
      </c>
      <c r="G120" s="37">
        <f t="shared" si="9"/>
        <v>12843.608399999999</v>
      </c>
      <c r="H120" s="36" cm="1">
        <f t="array" ref="H120">SUMPRODUCT((C120&gt;tier_floor)*((C120-tier_floor)*step)*margin_rate)</f>
        <v>9593.608400000001</v>
      </c>
      <c r="I120" s="37">
        <f t="shared" si="10"/>
        <v>3249.9999999999982</v>
      </c>
      <c r="J120" s="38">
        <f t="shared" si="11"/>
        <v>2021</v>
      </c>
      <c r="K120" s="128">
        <f>(1+target)^($J120-(MIN(tbl_rep_mon[year])))</f>
        <v>1</v>
      </c>
      <c r="L120" s="35">
        <f t="shared" si="12"/>
        <v>0.42</v>
      </c>
      <c r="M120" s="37">
        <f t="shared" si="13"/>
        <v>12843.608399999999</v>
      </c>
    </row>
    <row r="121" spans="1:13" x14ac:dyDescent="0.4">
      <c r="A121" t="s">
        <v>26</v>
      </c>
      <c r="B121">
        <v>2</v>
      </c>
      <c r="C121" s="36">
        <v>61551.92</v>
      </c>
      <c r="D121" s="1">
        <v>44348</v>
      </c>
      <c r="E121" s="35">
        <f t="shared" si="7"/>
        <v>0.42</v>
      </c>
      <c r="F121" s="37">
        <f t="shared" si="8"/>
        <v>30775.96</v>
      </c>
      <c r="G121" s="37">
        <f t="shared" si="9"/>
        <v>12925.903199999999</v>
      </c>
      <c r="H121" s="36" cm="1">
        <f t="array" ref="H121">SUMPRODUCT((C121&gt;tier_floor)*((C121-tier_floor)*step)*margin_rate)</f>
        <v>9675.9032000000007</v>
      </c>
      <c r="I121" s="37">
        <f t="shared" si="10"/>
        <v>3249.9999999999982</v>
      </c>
      <c r="J121" s="38">
        <f t="shared" si="11"/>
        <v>2021</v>
      </c>
      <c r="K121" s="128">
        <f>(1+target)^($J121-(MIN(tbl_rep_mon[year])))</f>
        <v>1</v>
      </c>
      <c r="L121" s="35">
        <f t="shared" si="12"/>
        <v>0.42</v>
      </c>
      <c r="M121" s="37">
        <f t="shared" si="13"/>
        <v>12925.903199999999</v>
      </c>
    </row>
    <row r="122" spans="1:13" x14ac:dyDescent="0.4">
      <c r="A122" t="s">
        <v>4</v>
      </c>
      <c r="B122">
        <v>4</v>
      </c>
      <c r="C122" s="36">
        <v>40593.54</v>
      </c>
      <c r="D122" s="1">
        <v>44378</v>
      </c>
      <c r="E122" s="35">
        <f t="shared" si="7"/>
        <v>0.33</v>
      </c>
      <c r="F122" s="37">
        <f t="shared" si="8"/>
        <v>20296.77</v>
      </c>
      <c r="G122" s="37">
        <f t="shared" si="9"/>
        <v>6697.9341000000004</v>
      </c>
      <c r="H122" s="36" cm="1">
        <f t="array" ref="H122">SUMPRODUCT((C122&gt;tier_floor)*((C122-tier_floor)*step)*margin_rate)</f>
        <v>5697.9341000000004</v>
      </c>
      <c r="I122" s="37">
        <f t="shared" si="10"/>
        <v>1000</v>
      </c>
      <c r="J122" s="38">
        <f t="shared" si="11"/>
        <v>2021</v>
      </c>
      <c r="K122" s="128">
        <f>(1+target)^($J122-(MIN(tbl_rep_mon[year])))</f>
        <v>1</v>
      </c>
      <c r="L122" s="35">
        <f t="shared" si="12"/>
        <v>0.33</v>
      </c>
      <c r="M122" s="37">
        <f t="shared" si="13"/>
        <v>6697.9341000000004</v>
      </c>
    </row>
    <row r="123" spans="1:13" x14ac:dyDescent="0.4">
      <c r="A123" t="s">
        <v>6</v>
      </c>
      <c r="B123">
        <v>2</v>
      </c>
      <c r="C123" s="36">
        <v>46560.26</v>
      </c>
      <c r="D123" s="1">
        <v>44378</v>
      </c>
      <c r="E123" s="35">
        <f t="shared" si="7"/>
        <v>0.33</v>
      </c>
      <c r="F123" s="37">
        <f t="shared" si="8"/>
        <v>23280.13</v>
      </c>
      <c r="G123" s="37">
        <f t="shared" si="9"/>
        <v>7682.4429000000009</v>
      </c>
      <c r="H123" s="36" cm="1">
        <f t="array" ref="H123">SUMPRODUCT((C123&gt;tier_floor)*((C123-tier_floor)*step)*margin_rate)</f>
        <v>6682.4429</v>
      </c>
      <c r="I123" s="37">
        <f t="shared" si="10"/>
        <v>1000.0000000000009</v>
      </c>
      <c r="J123" s="38">
        <f t="shared" si="11"/>
        <v>2021</v>
      </c>
      <c r="K123" s="128">
        <f>(1+target)^($J123-(MIN(tbl_rep_mon[year])))</f>
        <v>1</v>
      </c>
      <c r="L123" s="35">
        <f t="shared" si="12"/>
        <v>0.33</v>
      </c>
      <c r="M123" s="37">
        <f t="shared" si="13"/>
        <v>7682.4429000000009</v>
      </c>
    </row>
    <row r="124" spans="1:13" x14ac:dyDescent="0.4">
      <c r="A124" t="s">
        <v>7</v>
      </c>
      <c r="B124">
        <v>4</v>
      </c>
      <c r="C124" s="36">
        <v>55049.15</v>
      </c>
      <c r="D124" s="1">
        <v>44378</v>
      </c>
      <c r="E124" s="35">
        <f t="shared" si="7"/>
        <v>0.42</v>
      </c>
      <c r="F124" s="37">
        <f t="shared" si="8"/>
        <v>27524.575000000001</v>
      </c>
      <c r="G124" s="37">
        <f t="shared" si="9"/>
        <v>11560.3215</v>
      </c>
      <c r="H124" s="36" cm="1">
        <f t="array" ref="H124">SUMPRODUCT((C124&gt;tier_floor)*((C124-tier_floor)*step)*margin_rate)</f>
        <v>8310.3215</v>
      </c>
      <c r="I124" s="37">
        <f t="shared" si="10"/>
        <v>3250</v>
      </c>
      <c r="J124" s="38">
        <f t="shared" si="11"/>
        <v>2021</v>
      </c>
      <c r="K124" s="128">
        <f>(1+target)^($J124-(MIN(tbl_rep_mon[year])))</f>
        <v>1</v>
      </c>
      <c r="L124" s="35">
        <f t="shared" si="12"/>
        <v>0.42</v>
      </c>
      <c r="M124" s="37">
        <f t="shared" si="13"/>
        <v>11560.3215</v>
      </c>
    </row>
    <row r="125" spans="1:13" x14ac:dyDescent="0.4">
      <c r="A125" t="s">
        <v>8</v>
      </c>
      <c r="B125">
        <v>4</v>
      </c>
      <c r="C125" s="36">
        <v>59205.64</v>
      </c>
      <c r="D125" s="1">
        <v>44378</v>
      </c>
      <c r="E125" s="35">
        <f t="shared" si="7"/>
        <v>0.42</v>
      </c>
      <c r="F125" s="37">
        <f t="shared" si="8"/>
        <v>29602.82</v>
      </c>
      <c r="G125" s="37">
        <f t="shared" si="9"/>
        <v>12433.1844</v>
      </c>
      <c r="H125" s="36" cm="1">
        <f t="array" ref="H125">SUMPRODUCT((C125&gt;tier_floor)*((C125-tier_floor)*step)*margin_rate)</f>
        <v>9183.1844000000001</v>
      </c>
      <c r="I125" s="37">
        <f t="shared" si="10"/>
        <v>3250</v>
      </c>
      <c r="J125" s="38">
        <f t="shared" si="11"/>
        <v>2021</v>
      </c>
      <c r="K125" s="128">
        <f>(1+target)^($J125-(MIN(tbl_rep_mon[year])))</f>
        <v>1</v>
      </c>
      <c r="L125" s="35">
        <f t="shared" si="12"/>
        <v>0.42</v>
      </c>
      <c r="M125" s="37">
        <f t="shared" si="13"/>
        <v>12433.1844</v>
      </c>
    </row>
    <row r="126" spans="1:13" x14ac:dyDescent="0.4">
      <c r="A126" t="s">
        <v>10</v>
      </c>
      <c r="B126">
        <v>3</v>
      </c>
      <c r="C126" s="36">
        <v>70272.33</v>
      </c>
      <c r="D126" s="1">
        <v>44378</v>
      </c>
      <c r="E126" s="35">
        <f t="shared" si="7"/>
        <v>0.42</v>
      </c>
      <c r="F126" s="37">
        <f t="shared" si="8"/>
        <v>35136.165000000001</v>
      </c>
      <c r="G126" s="37">
        <f t="shared" si="9"/>
        <v>14757.1893</v>
      </c>
      <c r="H126" s="36" cm="1">
        <f t="array" ref="H126">SUMPRODUCT((C126&gt;tier_floor)*((C126-tier_floor)*step)*margin_rate)</f>
        <v>11507.1893</v>
      </c>
      <c r="I126" s="37">
        <f t="shared" si="10"/>
        <v>3250</v>
      </c>
      <c r="J126" s="38">
        <f t="shared" si="11"/>
        <v>2021</v>
      </c>
      <c r="K126" s="128">
        <f>(1+target)^($J126-(MIN(tbl_rep_mon[year])))</f>
        <v>1</v>
      </c>
      <c r="L126" s="35">
        <f t="shared" si="12"/>
        <v>0.42</v>
      </c>
      <c r="M126" s="37">
        <f t="shared" si="13"/>
        <v>14757.1893</v>
      </c>
    </row>
    <row r="127" spans="1:13" x14ac:dyDescent="0.4">
      <c r="A127" t="s">
        <v>11</v>
      </c>
      <c r="B127">
        <v>1</v>
      </c>
      <c r="C127" s="36">
        <v>47779.199999999997</v>
      </c>
      <c r="D127" s="1">
        <v>44378</v>
      </c>
      <c r="E127" s="35">
        <f t="shared" si="7"/>
        <v>0.33</v>
      </c>
      <c r="F127" s="37">
        <f t="shared" si="8"/>
        <v>23889.599999999999</v>
      </c>
      <c r="G127" s="37">
        <f t="shared" si="9"/>
        <v>7883.5680000000002</v>
      </c>
      <c r="H127" s="36" cm="1">
        <f t="array" ref="H127">SUMPRODUCT((C127&gt;tier_floor)*((C127-tier_floor)*step)*margin_rate)</f>
        <v>6883.5679999999993</v>
      </c>
      <c r="I127" s="37">
        <f t="shared" si="10"/>
        <v>1000.0000000000009</v>
      </c>
      <c r="J127" s="38">
        <f t="shared" si="11"/>
        <v>2021</v>
      </c>
      <c r="K127" s="128">
        <f>(1+target)^($J127-(MIN(tbl_rep_mon[year])))</f>
        <v>1</v>
      </c>
      <c r="L127" s="35">
        <f t="shared" si="12"/>
        <v>0.33</v>
      </c>
      <c r="M127" s="37">
        <f t="shared" si="13"/>
        <v>7883.5680000000002</v>
      </c>
    </row>
    <row r="128" spans="1:13" x14ac:dyDescent="0.4">
      <c r="A128" t="s">
        <v>12</v>
      </c>
      <c r="B128">
        <v>2</v>
      </c>
      <c r="C128" s="36">
        <v>79027.97</v>
      </c>
      <c r="D128" s="1">
        <v>44378</v>
      </c>
      <c r="E128" s="35">
        <f t="shared" si="7"/>
        <v>0.51</v>
      </c>
      <c r="F128" s="37">
        <f t="shared" si="8"/>
        <v>39513.985000000001</v>
      </c>
      <c r="G128" s="37">
        <f t="shared" si="9"/>
        <v>20152.13235</v>
      </c>
      <c r="H128" s="36" cm="1">
        <f t="array" ref="H128">SUMPRODUCT((C128&gt;tier_floor)*((C128-tier_floor)*step)*margin_rate)</f>
        <v>13527.13235</v>
      </c>
      <c r="I128" s="37">
        <f t="shared" si="10"/>
        <v>6625</v>
      </c>
      <c r="J128" s="38">
        <f t="shared" si="11"/>
        <v>2021</v>
      </c>
      <c r="K128" s="128">
        <f>(1+target)^($J128-(MIN(tbl_rep_mon[year])))</f>
        <v>1</v>
      </c>
      <c r="L128" s="35">
        <f t="shared" si="12"/>
        <v>0.51</v>
      </c>
      <c r="M128" s="37">
        <f t="shared" si="13"/>
        <v>20152.13235</v>
      </c>
    </row>
    <row r="129" spans="1:13" x14ac:dyDescent="0.4">
      <c r="A129" t="s">
        <v>13</v>
      </c>
      <c r="B129">
        <v>2</v>
      </c>
      <c r="C129" s="36">
        <v>52747.51</v>
      </c>
      <c r="D129" s="1">
        <v>44378</v>
      </c>
      <c r="E129" s="35">
        <f t="shared" si="7"/>
        <v>0.42</v>
      </c>
      <c r="F129" s="37">
        <f t="shared" si="8"/>
        <v>26373.755000000001</v>
      </c>
      <c r="G129" s="37">
        <f t="shared" si="9"/>
        <v>11076.9771</v>
      </c>
      <c r="H129" s="36" cm="1">
        <f t="array" ref="H129">SUMPRODUCT((C129&gt;tier_floor)*((C129-tier_floor)*step)*margin_rate)</f>
        <v>7826.977100000001</v>
      </c>
      <c r="I129" s="37">
        <f t="shared" si="10"/>
        <v>3249.9999999999991</v>
      </c>
      <c r="J129" s="38">
        <f t="shared" si="11"/>
        <v>2021</v>
      </c>
      <c r="K129" s="128">
        <f>(1+target)^($J129-(MIN(tbl_rep_mon[year])))</f>
        <v>1</v>
      </c>
      <c r="L129" s="35">
        <f t="shared" si="12"/>
        <v>0.42</v>
      </c>
      <c r="M129" s="37">
        <f t="shared" si="13"/>
        <v>11076.9771</v>
      </c>
    </row>
    <row r="130" spans="1:13" x14ac:dyDescent="0.4">
      <c r="A130" t="s">
        <v>14</v>
      </c>
      <c r="B130">
        <v>4</v>
      </c>
      <c r="C130" s="36">
        <v>44531.47</v>
      </c>
      <c r="D130" s="1">
        <v>44378</v>
      </c>
      <c r="E130" s="35">
        <f t="shared" ref="E130:E193" si="14">_xlfn.XLOOKUP(C130,tier_floor,tier_rate,,-1)</f>
        <v>0.33</v>
      </c>
      <c r="F130" s="37">
        <f t="shared" ref="F130:F193" si="15">C130*margin_rate</f>
        <v>22265.735000000001</v>
      </c>
      <c r="G130" s="37">
        <f t="shared" ref="G130:G193" si="16">F130*E130</f>
        <v>7347.6925500000007</v>
      </c>
      <c r="H130" s="36" cm="1">
        <f t="array" ref="H130">SUMPRODUCT((C130&gt;tier_floor)*((C130-tier_floor)*step)*margin_rate)</f>
        <v>6347.6925500000007</v>
      </c>
      <c r="I130" s="37">
        <f t="shared" ref="I130:I193" si="17">G130-H130</f>
        <v>1000</v>
      </c>
      <c r="J130" s="38">
        <f t="shared" ref="J130:J193" si="18">YEAR(D130)</f>
        <v>2021</v>
      </c>
      <c r="K130" s="128">
        <f>(1+target)^($J130-(MIN(tbl_rep_mon[year])))</f>
        <v>1</v>
      </c>
      <c r="L130" s="35">
        <f t="shared" ref="L130:L193" si="19">_xlfn.XLOOKUP(($C130/$K130),tier_floor,tier_rate,,-1)</f>
        <v>0.33</v>
      </c>
      <c r="M130" s="37">
        <f t="shared" ref="M130:M193" si="20">$F130*$L130</f>
        <v>7347.6925500000007</v>
      </c>
    </row>
    <row r="131" spans="1:13" x14ac:dyDescent="0.4">
      <c r="A131" t="s">
        <v>15</v>
      </c>
      <c r="B131">
        <v>3</v>
      </c>
      <c r="C131" s="36">
        <v>68935.48</v>
      </c>
      <c r="D131" s="1">
        <v>44378</v>
      </c>
      <c r="E131" s="35">
        <f t="shared" si="14"/>
        <v>0.42</v>
      </c>
      <c r="F131" s="37">
        <f t="shared" si="15"/>
        <v>34467.74</v>
      </c>
      <c r="G131" s="37">
        <f t="shared" si="16"/>
        <v>14476.450799999999</v>
      </c>
      <c r="H131" s="36" cm="1">
        <f t="array" ref="H131">SUMPRODUCT((C131&gt;tier_floor)*((C131-tier_floor)*step)*margin_rate)</f>
        <v>11226.450799999999</v>
      </c>
      <c r="I131" s="37">
        <f t="shared" si="17"/>
        <v>3250</v>
      </c>
      <c r="J131" s="38">
        <f t="shared" si="18"/>
        <v>2021</v>
      </c>
      <c r="K131" s="128">
        <f>(1+target)^($J131-(MIN(tbl_rep_mon[year])))</f>
        <v>1</v>
      </c>
      <c r="L131" s="35">
        <f t="shared" si="19"/>
        <v>0.42</v>
      </c>
      <c r="M131" s="37">
        <f t="shared" si="20"/>
        <v>14476.450799999999</v>
      </c>
    </row>
    <row r="132" spans="1:13" x14ac:dyDescent="0.4">
      <c r="A132" t="s">
        <v>16</v>
      </c>
      <c r="B132">
        <v>3</v>
      </c>
      <c r="C132" s="36">
        <v>83198.929999999993</v>
      </c>
      <c r="D132" s="1">
        <v>44378</v>
      </c>
      <c r="E132" s="35">
        <f t="shared" si="14"/>
        <v>0.51</v>
      </c>
      <c r="F132" s="37">
        <f t="shared" si="15"/>
        <v>41599.464999999997</v>
      </c>
      <c r="G132" s="37">
        <f t="shared" si="16"/>
        <v>21215.727149999999</v>
      </c>
      <c r="H132" s="36" cm="1">
        <f t="array" ref="H132">SUMPRODUCT((C132&gt;tier_floor)*((C132-tier_floor)*step)*margin_rate)</f>
        <v>14590.727149999999</v>
      </c>
      <c r="I132" s="37">
        <f t="shared" si="17"/>
        <v>6625</v>
      </c>
      <c r="J132" s="38">
        <f t="shared" si="18"/>
        <v>2021</v>
      </c>
      <c r="K132" s="128">
        <f>(1+target)^($J132-(MIN(tbl_rep_mon[year])))</f>
        <v>1</v>
      </c>
      <c r="L132" s="35">
        <f t="shared" si="19"/>
        <v>0.51</v>
      </c>
      <c r="M132" s="37">
        <f t="shared" si="20"/>
        <v>21215.727149999999</v>
      </c>
    </row>
    <row r="133" spans="1:13" x14ac:dyDescent="0.4">
      <c r="A133" t="s">
        <v>18</v>
      </c>
      <c r="B133">
        <v>3</v>
      </c>
      <c r="C133" s="36">
        <v>55423.48</v>
      </c>
      <c r="D133" s="1">
        <v>44378</v>
      </c>
      <c r="E133" s="35">
        <f t="shared" si="14"/>
        <v>0.42</v>
      </c>
      <c r="F133" s="37">
        <f t="shared" si="15"/>
        <v>27711.74</v>
      </c>
      <c r="G133" s="37">
        <f t="shared" si="16"/>
        <v>11638.9308</v>
      </c>
      <c r="H133" s="36" cm="1">
        <f t="array" ref="H133">SUMPRODUCT((C133&gt;tier_floor)*((C133-tier_floor)*step)*margin_rate)</f>
        <v>8388.9308000000001</v>
      </c>
      <c r="I133" s="37">
        <f t="shared" si="17"/>
        <v>3250</v>
      </c>
      <c r="J133" s="38">
        <f t="shared" si="18"/>
        <v>2021</v>
      </c>
      <c r="K133" s="128">
        <f>(1+target)^($J133-(MIN(tbl_rep_mon[year])))</f>
        <v>1</v>
      </c>
      <c r="L133" s="35">
        <f t="shared" si="19"/>
        <v>0.42</v>
      </c>
      <c r="M133" s="37">
        <f t="shared" si="20"/>
        <v>11638.9308</v>
      </c>
    </row>
    <row r="134" spans="1:13" x14ac:dyDescent="0.4">
      <c r="A134" t="s">
        <v>19</v>
      </c>
      <c r="B134">
        <v>4</v>
      </c>
      <c r="C134" s="36">
        <v>59892.27</v>
      </c>
      <c r="D134" s="1">
        <v>44378</v>
      </c>
      <c r="E134" s="35">
        <f t="shared" si="14"/>
        <v>0.42</v>
      </c>
      <c r="F134" s="37">
        <f t="shared" si="15"/>
        <v>29946.134999999998</v>
      </c>
      <c r="G134" s="37">
        <f t="shared" si="16"/>
        <v>12577.376699999999</v>
      </c>
      <c r="H134" s="36" cm="1">
        <f t="array" ref="H134">SUMPRODUCT((C134&gt;tier_floor)*((C134-tier_floor)*step)*margin_rate)</f>
        <v>9327.3766999999989</v>
      </c>
      <c r="I134" s="37">
        <f t="shared" si="17"/>
        <v>3250</v>
      </c>
      <c r="J134" s="38">
        <f t="shared" si="18"/>
        <v>2021</v>
      </c>
      <c r="K134" s="128">
        <f>(1+target)^($J134-(MIN(tbl_rep_mon[year])))</f>
        <v>1</v>
      </c>
      <c r="L134" s="35">
        <f t="shared" si="19"/>
        <v>0.42</v>
      </c>
      <c r="M134" s="37">
        <f t="shared" si="20"/>
        <v>12577.376699999999</v>
      </c>
    </row>
    <row r="135" spans="1:13" x14ac:dyDescent="0.4">
      <c r="A135" t="s">
        <v>20</v>
      </c>
      <c r="B135">
        <v>4</v>
      </c>
      <c r="C135" s="36">
        <v>48046.57</v>
      </c>
      <c r="D135" s="1">
        <v>44378</v>
      </c>
      <c r="E135" s="35">
        <f t="shared" si="14"/>
        <v>0.33</v>
      </c>
      <c r="F135" s="37">
        <f t="shared" si="15"/>
        <v>24023.285</v>
      </c>
      <c r="G135" s="37">
        <f t="shared" si="16"/>
        <v>7927.6840500000008</v>
      </c>
      <c r="H135" s="36" cm="1">
        <f t="array" ref="H135">SUMPRODUCT((C135&gt;tier_floor)*((C135-tier_floor)*step)*margin_rate)</f>
        <v>6927.6840499999998</v>
      </c>
      <c r="I135" s="37">
        <f t="shared" si="17"/>
        <v>1000.0000000000009</v>
      </c>
      <c r="J135" s="38">
        <f t="shared" si="18"/>
        <v>2021</v>
      </c>
      <c r="K135" s="128">
        <f>(1+target)^($J135-(MIN(tbl_rep_mon[year])))</f>
        <v>1</v>
      </c>
      <c r="L135" s="35">
        <f t="shared" si="19"/>
        <v>0.33</v>
      </c>
      <c r="M135" s="37">
        <f t="shared" si="20"/>
        <v>7927.6840500000008</v>
      </c>
    </row>
    <row r="136" spans="1:13" x14ac:dyDescent="0.4">
      <c r="A136" t="s">
        <v>21</v>
      </c>
      <c r="B136">
        <v>4</v>
      </c>
      <c r="C136" s="36">
        <v>57846.74</v>
      </c>
      <c r="D136" s="1">
        <v>44378</v>
      </c>
      <c r="E136" s="35">
        <f t="shared" si="14"/>
        <v>0.42</v>
      </c>
      <c r="F136" s="37">
        <f t="shared" si="15"/>
        <v>28923.37</v>
      </c>
      <c r="G136" s="37">
        <f t="shared" si="16"/>
        <v>12147.815399999999</v>
      </c>
      <c r="H136" s="36" cm="1">
        <f t="array" ref="H136">SUMPRODUCT((C136&gt;tier_floor)*((C136-tier_floor)*step)*margin_rate)</f>
        <v>8897.8153999999995</v>
      </c>
      <c r="I136" s="37">
        <f t="shared" si="17"/>
        <v>3250</v>
      </c>
      <c r="J136" s="38">
        <f t="shared" si="18"/>
        <v>2021</v>
      </c>
      <c r="K136" s="128">
        <f>(1+target)^($J136-(MIN(tbl_rep_mon[year])))</f>
        <v>1</v>
      </c>
      <c r="L136" s="35">
        <f t="shared" si="19"/>
        <v>0.42</v>
      </c>
      <c r="M136" s="37">
        <f t="shared" si="20"/>
        <v>12147.815399999999</v>
      </c>
    </row>
    <row r="137" spans="1:13" x14ac:dyDescent="0.4">
      <c r="A137" t="s">
        <v>22</v>
      </c>
      <c r="B137">
        <v>4</v>
      </c>
      <c r="C137" s="36">
        <v>58772.93</v>
      </c>
      <c r="D137" s="1">
        <v>44378</v>
      </c>
      <c r="E137" s="35">
        <f t="shared" si="14"/>
        <v>0.42</v>
      </c>
      <c r="F137" s="37">
        <f t="shared" si="15"/>
        <v>29386.465</v>
      </c>
      <c r="G137" s="37">
        <f t="shared" si="16"/>
        <v>12342.3153</v>
      </c>
      <c r="H137" s="36" cm="1">
        <f t="array" ref="H137">SUMPRODUCT((C137&gt;tier_floor)*((C137-tier_floor)*step)*margin_rate)</f>
        <v>9092.3153000000002</v>
      </c>
      <c r="I137" s="37">
        <f t="shared" si="17"/>
        <v>3250</v>
      </c>
      <c r="J137" s="38">
        <f t="shared" si="18"/>
        <v>2021</v>
      </c>
      <c r="K137" s="128">
        <f>(1+target)^($J137-(MIN(tbl_rep_mon[year])))</f>
        <v>1</v>
      </c>
      <c r="L137" s="35">
        <f t="shared" si="19"/>
        <v>0.42</v>
      </c>
      <c r="M137" s="37">
        <f t="shared" si="20"/>
        <v>12342.3153</v>
      </c>
    </row>
    <row r="138" spans="1:13" x14ac:dyDescent="0.4">
      <c r="A138" t="s">
        <v>23</v>
      </c>
      <c r="B138">
        <v>1</v>
      </c>
      <c r="C138" s="36">
        <v>70242.8</v>
      </c>
      <c r="D138" s="1">
        <v>44378</v>
      </c>
      <c r="E138" s="35">
        <f t="shared" si="14"/>
        <v>0.42</v>
      </c>
      <c r="F138" s="37">
        <f t="shared" si="15"/>
        <v>35121.4</v>
      </c>
      <c r="G138" s="37">
        <f t="shared" si="16"/>
        <v>14750.987999999999</v>
      </c>
      <c r="H138" s="36" cm="1">
        <f t="array" ref="H138">SUMPRODUCT((C138&gt;tier_floor)*((C138-tier_floor)*step)*margin_rate)</f>
        <v>11500.988000000001</v>
      </c>
      <c r="I138" s="37">
        <f t="shared" si="17"/>
        <v>3249.9999999999982</v>
      </c>
      <c r="J138" s="38">
        <f t="shared" si="18"/>
        <v>2021</v>
      </c>
      <c r="K138" s="128">
        <f>(1+target)^($J138-(MIN(tbl_rep_mon[year])))</f>
        <v>1</v>
      </c>
      <c r="L138" s="35">
        <f t="shared" si="19"/>
        <v>0.42</v>
      </c>
      <c r="M138" s="37">
        <f t="shared" si="20"/>
        <v>14750.987999999999</v>
      </c>
    </row>
    <row r="139" spans="1:13" x14ac:dyDescent="0.4">
      <c r="A139" t="s">
        <v>24</v>
      </c>
      <c r="B139">
        <v>3</v>
      </c>
      <c r="C139" s="36">
        <v>53861.24</v>
      </c>
      <c r="D139" s="1">
        <v>44378</v>
      </c>
      <c r="E139" s="35">
        <f t="shared" si="14"/>
        <v>0.42</v>
      </c>
      <c r="F139" s="37">
        <f t="shared" si="15"/>
        <v>26930.62</v>
      </c>
      <c r="G139" s="37">
        <f t="shared" si="16"/>
        <v>11310.8604</v>
      </c>
      <c r="H139" s="36" cm="1">
        <f t="array" ref="H139">SUMPRODUCT((C139&gt;tier_floor)*((C139-tier_floor)*step)*margin_rate)</f>
        <v>8060.8603999999996</v>
      </c>
      <c r="I139" s="37">
        <f t="shared" si="17"/>
        <v>3250</v>
      </c>
      <c r="J139" s="38">
        <f t="shared" si="18"/>
        <v>2021</v>
      </c>
      <c r="K139" s="128">
        <f>(1+target)^($J139-(MIN(tbl_rep_mon[year])))</f>
        <v>1</v>
      </c>
      <c r="L139" s="35">
        <f t="shared" si="19"/>
        <v>0.42</v>
      </c>
      <c r="M139" s="37">
        <f t="shared" si="20"/>
        <v>11310.8604</v>
      </c>
    </row>
    <row r="140" spans="1:13" x14ac:dyDescent="0.4">
      <c r="A140" t="s">
        <v>25</v>
      </c>
      <c r="B140">
        <v>2</v>
      </c>
      <c r="C140" s="36">
        <v>82678.210000000006</v>
      </c>
      <c r="D140" s="1">
        <v>44378</v>
      </c>
      <c r="E140" s="35">
        <f t="shared" si="14"/>
        <v>0.51</v>
      </c>
      <c r="F140" s="37">
        <f t="shared" si="15"/>
        <v>41339.105000000003</v>
      </c>
      <c r="G140" s="37">
        <f t="shared" si="16"/>
        <v>21082.943550000004</v>
      </c>
      <c r="H140" s="36" cm="1">
        <f t="array" ref="H140">SUMPRODUCT((C140&gt;tier_floor)*((C140-tier_floor)*step)*margin_rate)</f>
        <v>14457.94355</v>
      </c>
      <c r="I140" s="37">
        <f t="shared" si="17"/>
        <v>6625.0000000000036</v>
      </c>
      <c r="J140" s="38">
        <f t="shared" si="18"/>
        <v>2021</v>
      </c>
      <c r="K140" s="128">
        <f>(1+target)^($J140-(MIN(tbl_rep_mon[year])))</f>
        <v>1</v>
      </c>
      <c r="L140" s="35">
        <f t="shared" si="19"/>
        <v>0.51</v>
      </c>
      <c r="M140" s="37">
        <f t="shared" si="20"/>
        <v>21082.943550000004</v>
      </c>
    </row>
    <row r="141" spans="1:13" x14ac:dyDescent="0.4">
      <c r="A141" t="s">
        <v>26</v>
      </c>
      <c r="B141">
        <v>2</v>
      </c>
      <c r="C141" s="36">
        <v>46111.68</v>
      </c>
      <c r="D141" s="1">
        <v>44378</v>
      </c>
      <c r="E141" s="35">
        <f t="shared" si="14"/>
        <v>0.33</v>
      </c>
      <c r="F141" s="37">
        <f t="shared" si="15"/>
        <v>23055.84</v>
      </c>
      <c r="G141" s="37">
        <f t="shared" si="16"/>
        <v>7608.4272000000001</v>
      </c>
      <c r="H141" s="36" cm="1">
        <f t="array" ref="H141">SUMPRODUCT((C141&gt;tier_floor)*((C141-tier_floor)*step)*margin_rate)</f>
        <v>6608.4272000000001</v>
      </c>
      <c r="I141" s="37">
        <f t="shared" si="17"/>
        <v>1000</v>
      </c>
      <c r="J141" s="38">
        <f t="shared" si="18"/>
        <v>2021</v>
      </c>
      <c r="K141" s="128">
        <f>(1+target)^($J141-(MIN(tbl_rep_mon[year])))</f>
        <v>1</v>
      </c>
      <c r="L141" s="35">
        <f t="shared" si="19"/>
        <v>0.33</v>
      </c>
      <c r="M141" s="37">
        <f t="shared" si="20"/>
        <v>7608.4272000000001</v>
      </c>
    </row>
    <row r="142" spans="1:13" x14ac:dyDescent="0.4">
      <c r="A142" t="s">
        <v>4</v>
      </c>
      <c r="B142">
        <v>4</v>
      </c>
      <c r="C142" s="36">
        <v>48686.54</v>
      </c>
      <c r="D142" s="1">
        <v>44409</v>
      </c>
      <c r="E142" s="35">
        <f t="shared" si="14"/>
        <v>0.33</v>
      </c>
      <c r="F142" s="37">
        <f t="shared" si="15"/>
        <v>24343.27</v>
      </c>
      <c r="G142" s="37">
        <f t="shared" si="16"/>
        <v>8033.2791000000007</v>
      </c>
      <c r="H142" s="36" cm="1">
        <f t="array" ref="H142">SUMPRODUCT((C142&gt;tier_floor)*((C142-tier_floor)*step)*margin_rate)</f>
        <v>7033.2791000000007</v>
      </c>
      <c r="I142" s="37">
        <f t="shared" si="17"/>
        <v>1000</v>
      </c>
      <c r="J142" s="38">
        <f t="shared" si="18"/>
        <v>2021</v>
      </c>
      <c r="K142" s="128">
        <f>(1+target)^($J142-(MIN(tbl_rep_mon[year])))</f>
        <v>1</v>
      </c>
      <c r="L142" s="35">
        <f t="shared" si="19"/>
        <v>0.33</v>
      </c>
      <c r="M142" s="37">
        <f t="shared" si="20"/>
        <v>8033.2791000000007</v>
      </c>
    </row>
    <row r="143" spans="1:13" x14ac:dyDescent="0.4">
      <c r="A143" t="s">
        <v>6</v>
      </c>
      <c r="B143">
        <v>2</v>
      </c>
      <c r="C143" s="36">
        <v>30735.58</v>
      </c>
      <c r="D143" s="1">
        <v>44409</v>
      </c>
      <c r="E143" s="35">
        <f t="shared" si="14"/>
        <v>0.33</v>
      </c>
      <c r="F143" s="37">
        <f t="shared" si="15"/>
        <v>15367.79</v>
      </c>
      <c r="G143" s="37">
        <f t="shared" si="16"/>
        <v>5071.3707000000004</v>
      </c>
      <c r="H143" s="36" cm="1">
        <f t="array" ref="H143">SUMPRODUCT((C143&gt;tier_floor)*((C143-tier_floor)*step)*margin_rate)</f>
        <v>4071.3707000000004</v>
      </c>
      <c r="I143" s="37">
        <f t="shared" si="17"/>
        <v>1000</v>
      </c>
      <c r="J143" s="38">
        <f t="shared" si="18"/>
        <v>2021</v>
      </c>
      <c r="K143" s="128">
        <f>(1+target)^($J143-(MIN(tbl_rep_mon[year])))</f>
        <v>1</v>
      </c>
      <c r="L143" s="35">
        <f t="shared" si="19"/>
        <v>0.33</v>
      </c>
      <c r="M143" s="37">
        <f t="shared" si="20"/>
        <v>5071.3707000000004</v>
      </c>
    </row>
    <row r="144" spans="1:13" x14ac:dyDescent="0.4">
      <c r="A144" t="s">
        <v>7</v>
      </c>
      <c r="B144">
        <v>4</v>
      </c>
      <c r="C144" s="36">
        <v>49203.41</v>
      </c>
      <c r="D144" s="1">
        <v>44409</v>
      </c>
      <c r="E144" s="35">
        <f t="shared" si="14"/>
        <v>0.33</v>
      </c>
      <c r="F144" s="37">
        <f t="shared" si="15"/>
        <v>24601.705000000002</v>
      </c>
      <c r="G144" s="37">
        <f t="shared" si="16"/>
        <v>8118.5626500000008</v>
      </c>
      <c r="H144" s="36" cm="1">
        <f t="array" ref="H144">SUMPRODUCT((C144&gt;tier_floor)*((C144-tier_floor)*step)*margin_rate)</f>
        <v>7118.5626500000008</v>
      </c>
      <c r="I144" s="37">
        <f t="shared" si="17"/>
        <v>1000</v>
      </c>
      <c r="J144" s="38">
        <f t="shared" si="18"/>
        <v>2021</v>
      </c>
      <c r="K144" s="128">
        <f>(1+target)^($J144-(MIN(tbl_rep_mon[year])))</f>
        <v>1</v>
      </c>
      <c r="L144" s="35">
        <f t="shared" si="19"/>
        <v>0.33</v>
      </c>
      <c r="M144" s="37">
        <f t="shared" si="20"/>
        <v>8118.5626500000008</v>
      </c>
    </row>
    <row r="145" spans="1:13" x14ac:dyDescent="0.4">
      <c r="A145" t="s">
        <v>8</v>
      </c>
      <c r="B145">
        <v>4</v>
      </c>
      <c r="C145" s="36">
        <v>49992.73</v>
      </c>
      <c r="D145" s="1">
        <v>44409</v>
      </c>
      <c r="E145" s="35">
        <f t="shared" si="14"/>
        <v>0.33</v>
      </c>
      <c r="F145" s="37">
        <f t="shared" si="15"/>
        <v>24996.365000000002</v>
      </c>
      <c r="G145" s="37">
        <f t="shared" si="16"/>
        <v>8248.8004500000006</v>
      </c>
      <c r="H145" s="36" cm="1">
        <f t="array" ref="H145">SUMPRODUCT((C145&gt;tier_floor)*((C145-tier_floor)*step)*margin_rate)</f>
        <v>7248.8004500000006</v>
      </c>
      <c r="I145" s="37">
        <f t="shared" si="17"/>
        <v>1000</v>
      </c>
      <c r="J145" s="38">
        <f t="shared" si="18"/>
        <v>2021</v>
      </c>
      <c r="K145" s="128">
        <f>(1+target)^($J145-(MIN(tbl_rep_mon[year])))</f>
        <v>1</v>
      </c>
      <c r="L145" s="35">
        <f t="shared" si="19"/>
        <v>0.33</v>
      </c>
      <c r="M145" s="37">
        <f t="shared" si="20"/>
        <v>8248.8004500000006</v>
      </c>
    </row>
    <row r="146" spans="1:13" x14ac:dyDescent="0.4">
      <c r="A146" t="s">
        <v>10</v>
      </c>
      <c r="B146">
        <v>3</v>
      </c>
      <c r="C146" s="36">
        <v>83668.45</v>
      </c>
      <c r="D146" s="1">
        <v>44409</v>
      </c>
      <c r="E146" s="35">
        <f t="shared" si="14"/>
        <v>0.51</v>
      </c>
      <c r="F146" s="37">
        <f t="shared" si="15"/>
        <v>41834.224999999999</v>
      </c>
      <c r="G146" s="37">
        <f t="shared" si="16"/>
        <v>21335.454750000001</v>
      </c>
      <c r="H146" s="36" cm="1">
        <f t="array" ref="H146">SUMPRODUCT((C146&gt;tier_floor)*((C146-tier_floor)*step)*margin_rate)</f>
        <v>14710.454749999997</v>
      </c>
      <c r="I146" s="37">
        <f t="shared" si="17"/>
        <v>6625.0000000000036</v>
      </c>
      <c r="J146" s="38">
        <f t="shared" si="18"/>
        <v>2021</v>
      </c>
      <c r="K146" s="128">
        <f>(1+target)^($J146-(MIN(tbl_rep_mon[year])))</f>
        <v>1</v>
      </c>
      <c r="L146" s="35">
        <f t="shared" si="19"/>
        <v>0.51</v>
      </c>
      <c r="M146" s="37">
        <f t="shared" si="20"/>
        <v>21335.454750000001</v>
      </c>
    </row>
    <row r="147" spans="1:13" x14ac:dyDescent="0.4">
      <c r="A147" t="s">
        <v>11</v>
      </c>
      <c r="B147">
        <v>1</v>
      </c>
      <c r="C147" s="36">
        <v>50548.25</v>
      </c>
      <c r="D147" s="1">
        <v>44409</v>
      </c>
      <c r="E147" s="35">
        <f t="shared" si="14"/>
        <v>0.42</v>
      </c>
      <c r="F147" s="37">
        <f t="shared" si="15"/>
        <v>25274.125</v>
      </c>
      <c r="G147" s="37">
        <f t="shared" si="16"/>
        <v>10615.1325</v>
      </c>
      <c r="H147" s="36" cm="1">
        <f t="array" ref="H147">SUMPRODUCT((C147&gt;tier_floor)*((C147-tier_floor)*step)*margin_rate)</f>
        <v>7365.1325000000006</v>
      </c>
      <c r="I147" s="37">
        <f t="shared" si="17"/>
        <v>3249.9999999999991</v>
      </c>
      <c r="J147" s="38">
        <f t="shared" si="18"/>
        <v>2021</v>
      </c>
      <c r="K147" s="128">
        <f>(1+target)^($J147-(MIN(tbl_rep_mon[year])))</f>
        <v>1</v>
      </c>
      <c r="L147" s="35">
        <f t="shared" si="19"/>
        <v>0.42</v>
      </c>
      <c r="M147" s="37">
        <f t="shared" si="20"/>
        <v>10615.1325</v>
      </c>
    </row>
    <row r="148" spans="1:13" x14ac:dyDescent="0.4">
      <c r="A148" t="s">
        <v>12</v>
      </c>
      <c r="B148">
        <v>2</v>
      </c>
      <c r="C148" s="36">
        <v>70920.86</v>
      </c>
      <c r="D148" s="1">
        <v>44409</v>
      </c>
      <c r="E148" s="35">
        <f t="shared" si="14"/>
        <v>0.42</v>
      </c>
      <c r="F148" s="37">
        <f t="shared" si="15"/>
        <v>35460.43</v>
      </c>
      <c r="G148" s="37">
        <f t="shared" si="16"/>
        <v>14893.3806</v>
      </c>
      <c r="H148" s="36" cm="1">
        <f t="array" ref="H148">SUMPRODUCT((C148&gt;tier_floor)*((C148-tier_floor)*step)*margin_rate)</f>
        <v>11643.3806</v>
      </c>
      <c r="I148" s="37">
        <f t="shared" si="17"/>
        <v>3250</v>
      </c>
      <c r="J148" s="38">
        <f t="shared" si="18"/>
        <v>2021</v>
      </c>
      <c r="K148" s="128">
        <f>(1+target)^($J148-(MIN(tbl_rep_mon[year])))</f>
        <v>1</v>
      </c>
      <c r="L148" s="35">
        <f t="shared" si="19"/>
        <v>0.42</v>
      </c>
      <c r="M148" s="37">
        <f t="shared" si="20"/>
        <v>14893.3806</v>
      </c>
    </row>
    <row r="149" spans="1:13" x14ac:dyDescent="0.4">
      <c r="A149" t="s">
        <v>13</v>
      </c>
      <c r="B149">
        <v>2</v>
      </c>
      <c r="C149" s="36">
        <v>50494.080000000002</v>
      </c>
      <c r="D149" s="1">
        <v>44409</v>
      </c>
      <c r="E149" s="35">
        <f t="shared" si="14"/>
        <v>0.42</v>
      </c>
      <c r="F149" s="37">
        <f t="shared" si="15"/>
        <v>25247.040000000001</v>
      </c>
      <c r="G149" s="37">
        <f t="shared" si="16"/>
        <v>10603.756799999999</v>
      </c>
      <c r="H149" s="36" cm="1">
        <f t="array" ref="H149">SUMPRODUCT((C149&gt;tier_floor)*((C149-tier_floor)*step)*margin_rate)</f>
        <v>7353.756800000001</v>
      </c>
      <c r="I149" s="37">
        <f t="shared" si="17"/>
        <v>3249.9999999999982</v>
      </c>
      <c r="J149" s="38">
        <f t="shared" si="18"/>
        <v>2021</v>
      </c>
      <c r="K149" s="128">
        <f>(1+target)^($J149-(MIN(tbl_rep_mon[year])))</f>
        <v>1</v>
      </c>
      <c r="L149" s="35">
        <f t="shared" si="19"/>
        <v>0.42</v>
      </c>
      <c r="M149" s="37">
        <f t="shared" si="20"/>
        <v>10603.756799999999</v>
      </c>
    </row>
    <row r="150" spans="1:13" x14ac:dyDescent="0.4">
      <c r="A150" t="s">
        <v>14</v>
      </c>
      <c r="B150">
        <v>4</v>
      </c>
      <c r="C150" s="36">
        <v>49145.68</v>
      </c>
      <c r="D150" s="1">
        <v>44409</v>
      </c>
      <c r="E150" s="35">
        <f t="shared" si="14"/>
        <v>0.33</v>
      </c>
      <c r="F150" s="37">
        <f t="shared" si="15"/>
        <v>24572.84</v>
      </c>
      <c r="G150" s="37">
        <f t="shared" si="16"/>
        <v>8109.0372000000007</v>
      </c>
      <c r="H150" s="36" cm="1">
        <f t="array" ref="H150">SUMPRODUCT((C150&gt;tier_floor)*((C150-tier_floor)*step)*margin_rate)</f>
        <v>7109.0372000000007</v>
      </c>
      <c r="I150" s="37">
        <f t="shared" si="17"/>
        <v>1000</v>
      </c>
      <c r="J150" s="38">
        <f t="shared" si="18"/>
        <v>2021</v>
      </c>
      <c r="K150" s="128">
        <f>(1+target)^($J150-(MIN(tbl_rep_mon[year])))</f>
        <v>1</v>
      </c>
      <c r="L150" s="35">
        <f t="shared" si="19"/>
        <v>0.33</v>
      </c>
      <c r="M150" s="37">
        <f t="shared" si="20"/>
        <v>8109.0372000000007</v>
      </c>
    </row>
    <row r="151" spans="1:13" x14ac:dyDescent="0.4">
      <c r="A151" t="s">
        <v>15</v>
      </c>
      <c r="B151">
        <v>3</v>
      </c>
      <c r="C151" s="36">
        <v>56375.360000000001</v>
      </c>
      <c r="D151" s="1">
        <v>44409</v>
      </c>
      <c r="E151" s="35">
        <f t="shared" si="14"/>
        <v>0.42</v>
      </c>
      <c r="F151" s="37">
        <f t="shared" si="15"/>
        <v>28187.68</v>
      </c>
      <c r="G151" s="37">
        <f t="shared" si="16"/>
        <v>11838.8256</v>
      </c>
      <c r="H151" s="36" cm="1">
        <f t="array" ref="H151">SUMPRODUCT((C151&gt;tier_floor)*((C151-tier_floor)*step)*margin_rate)</f>
        <v>8588.8256000000001</v>
      </c>
      <c r="I151" s="37">
        <f t="shared" si="17"/>
        <v>3250</v>
      </c>
      <c r="J151" s="38">
        <f t="shared" si="18"/>
        <v>2021</v>
      </c>
      <c r="K151" s="128">
        <f>(1+target)^($J151-(MIN(tbl_rep_mon[year])))</f>
        <v>1</v>
      </c>
      <c r="L151" s="35">
        <f t="shared" si="19"/>
        <v>0.42</v>
      </c>
      <c r="M151" s="37">
        <f t="shared" si="20"/>
        <v>11838.8256</v>
      </c>
    </row>
    <row r="152" spans="1:13" x14ac:dyDescent="0.4">
      <c r="A152" t="s">
        <v>16</v>
      </c>
      <c r="B152">
        <v>3</v>
      </c>
      <c r="C152" s="36">
        <v>67298.78</v>
      </c>
      <c r="D152" s="1">
        <v>44409</v>
      </c>
      <c r="E152" s="35">
        <f t="shared" si="14"/>
        <v>0.42</v>
      </c>
      <c r="F152" s="37">
        <f t="shared" si="15"/>
        <v>33649.39</v>
      </c>
      <c r="G152" s="37">
        <f t="shared" si="16"/>
        <v>14132.743799999998</v>
      </c>
      <c r="H152" s="36" cm="1">
        <f t="array" ref="H152">SUMPRODUCT((C152&gt;tier_floor)*((C152-tier_floor)*step)*margin_rate)</f>
        <v>10882.743799999998</v>
      </c>
      <c r="I152" s="37">
        <f t="shared" si="17"/>
        <v>3250</v>
      </c>
      <c r="J152" s="38">
        <f t="shared" si="18"/>
        <v>2021</v>
      </c>
      <c r="K152" s="128">
        <f>(1+target)^($J152-(MIN(tbl_rep_mon[year])))</f>
        <v>1</v>
      </c>
      <c r="L152" s="35">
        <f t="shared" si="19"/>
        <v>0.42</v>
      </c>
      <c r="M152" s="37">
        <f t="shared" si="20"/>
        <v>14132.743799999998</v>
      </c>
    </row>
    <row r="153" spans="1:13" x14ac:dyDescent="0.4">
      <c r="A153" t="s">
        <v>18</v>
      </c>
      <c r="B153">
        <v>3</v>
      </c>
      <c r="C153" s="36">
        <v>62150.15</v>
      </c>
      <c r="D153" s="1">
        <v>44409</v>
      </c>
      <c r="E153" s="35">
        <f t="shared" si="14"/>
        <v>0.42</v>
      </c>
      <c r="F153" s="37">
        <f t="shared" si="15"/>
        <v>31075.075000000001</v>
      </c>
      <c r="G153" s="37">
        <f t="shared" si="16"/>
        <v>13051.531499999999</v>
      </c>
      <c r="H153" s="36" cm="1">
        <f t="array" ref="H153">SUMPRODUCT((C153&gt;tier_floor)*((C153-tier_floor)*step)*margin_rate)</f>
        <v>9801.531500000001</v>
      </c>
      <c r="I153" s="37">
        <f t="shared" si="17"/>
        <v>3249.9999999999982</v>
      </c>
      <c r="J153" s="38">
        <f t="shared" si="18"/>
        <v>2021</v>
      </c>
      <c r="K153" s="128">
        <f>(1+target)^($J153-(MIN(tbl_rep_mon[year])))</f>
        <v>1</v>
      </c>
      <c r="L153" s="35">
        <f t="shared" si="19"/>
        <v>0.42</v>
      </c>
      <c r="M153" s="37">
        <f t="shared" si="20"/>
        <v>13051.531499999999</v>
      </c>
    </row>
    <row r="154" spans="1:13" x14ac:dyDescent="0.4">
      <c r="A154" t="s">
        <v>19</v>
      </c>
      <c r="B154">
        <v>4</v>
      </c>
      <c r="C154" s="36">
        <v>52744.65</v>
      </c>
      <c r="D154" s="1">
        <v>44409</v>
      </c>
      <c r="E154" s="35">
        <f t="shared" si="14"/>
        <v>0.42</v>
      </c>
      <c r="F154" s="37">
        <f t="shared" si="15"/>
        <v>26372.325000000001</v>
      </c>
      <c r="G154" s="37">
        <f t="shared" si="16"/>
        <v>11076.3765</v>
      </c>
      <c r="H154" s="36" cm="1">
        <f t="array" ref="H154">SUMPRODUCT((C154&gt;tier_floor)*((C154-tier_floor)*step)*margin_rate)</f>
        <v>7826.3765000000003</v>
      </c>
      <c r="I154" s="37">
        <f t="shared" si="17"/>
        <v>3250</v>
      </c>
      <c r="J154" s="38">
        <f t="shared" si="18"/>
        <v>2021</v>
      </c>
      <c r="K154" s="128">
        <f>(1+target)^($J154-(MIN(tbl_rep_mon[year])))</f>
        <v>1</v>
      </c>
      <c r="L154" s="35">
        <f t="shared" si="19"/>
        <v>0.42</v>
      </c>
      <c r="M154" s="37">
        <f t="shared" si="20"/>
        <v>11076.3765</v>
      </c>
    </row>
    <row r="155" spans="1:13" x14ac:dyDescent="0.4">
      <c r="A155" t="s">
        <v>20</v>
      </c>
      <c r="B155">
        <v>4</v>
      </c>
      <c r="C155" s="36">
        <v>32106.68</v>
      </c>
      <c r="D155" s="1">
        <v>44409</v>
      </c>
      <c r="E155" s="35">
        <f t="shared" si="14"/>
        <v>0.33</v>
      </c>
      <c r="F155" s="37">
        <f t="shared" si="15"/>
        <v>16053.34</v>
      </c>
      <c r="G155" s="37">
        <f t="shared" si="16"/>
        <v>5297.6022000000003</v>
      </c>
      <c r="H155" s="36" cm="1">
        <f t="array" ref="H155">SUMPRODUCT((C155&gt;tier_floor)*((C155-tier_floor)*step)*margin_rate)</f>
        <v>4297.6022000000003</v>
      </c>
      <c r="I155" s="37">
        <f t="shared" si="17"/>
        <v>1000</v>
      </c>
      <c r="J155" s="38">
        <f t="shared" si="18"/>
        <v>2021</v>
      </c>
      <c r="K155" s="128">
        <f>(1+target)^($J155-(MIN(tbl_rep_mon[year])))</f>
        <v>1</v>
      </c>
      <c r="L155" s="35">
        <f t="shared" si="19"/>
        <v>0.33</v>
      </c>
      <c r="M155" s="37">
        <f t="shared" si="20"/>
        <v>5297.6022000000003</v>
      </c>
    </row>
    <row r="156" spans="1:13" x14ac:dyDescent="0.4">
      <c r="A156" t="s">
        <v>21</v>
      </c>
      <c r="B156">
        <v>4</v>
      </c>
      <c r="C156" s="36">
        <v>42416.3</v>
      </c>
      <c r="D156" s="1">
        <v>44409</v>
      </c>
      <c r="E156" s="35">
        <f t="shared" si="14"/>
        <v>0.33</v>
      </c>
      <c r="F156" s="37">
        <f t="shared" si="15"/>
        <v>21208.15</v>
      </c>
      <c r="G156" s="37">
        <f t="shared" si="16"/>
        <v>6998.6895000000004</v>
      </c>
      <c r="H156" s="36" cm="1">
        <f t="array" ref="H156">SUMPRODUCT((C156&gt;tier_floor)*((C156-tier_floor)*step)*margin_rate)</f>
        <v>5998.6895000000004</v>
      </c>
      <c r="I156" s="37">
        <f t="shared" si="17"/>
        <v>1000</v>
      </c>
      <c r="J156" s="38">
        <f t="shared" si="18"/>
        <v>2021</v>
      </c>
      <c r="K156" s="128">
        <f>(1+target)^($J156-(MIN(tbl_rep_mon[year])))</f>
        <v>1</v>
      </c>
      <c r="L156" s="35">
        <f t="shared" si="19"/>
        <v>0.33</v>
      </c>
      <c r="M156" s="37">
        <f t="shared" si="20"/>
        <v>6998.6895000000004</v>
      </c>
    </row>
    <row r="157" spans="1:13" x14ac:dyDescent="0.4">
      <c r="A157" t="s">
        <v>22</v>
      </c>
      <c r="B157">
        <v>4</v>
      </c>
      <c r="C157" s="36">
        <v>51043.37</v>
      </c>
      <c r="D157" s="1">
        <v>44409</v>
      </c>
      <c r="E157" s="35">
        <f t="shared" si="14"/>
        <v>0.42</v>
      </c>
      <c r="F157" s="37">
        <f t="shared" si="15"/>
        <v>25521.685000000001</v>
      </c>
      <c r="G157" s="37">
        <f t="shared" si="16"/>
        <v>10719.1077</v>
      </c>
      <c r="H157" s="36" cm="1">
        <f t="array" ref="H157">SUMPRODUCT((C157&gt;tier_floor)*((C157-tier_floor)*step)*margin_rate)</f>
        <v>7469.1077000000005</v>
      </c>
      <c r="I157" s="37">
        <f t="shared" si="17"/>
        <v>3250</v>
      </c>
      <c r="J157" s="38">
        <f t="shared" si="18"/>
        <v>2021</v>
      </c>
      <c r="K157" s="128">
        <f>(1+target)^($J157-(MIN(tbl_rep_mon[year])))</f>
        <v>1</v>
      </c>
      <c r="L157" s="35">
        <f t="shared" si="19"/>
        <v>0.42</v>
      </c>
      <c r="M157" s="37">
        <f t="shared" si="20"/>
        <v>10719.1077</v>
      </c>
    </row>
    <row r="158" spans="1:13" x14ac:dyDescent="0.4">
      <c r="A158" t="s">
        <v>23</v>
      </c>
      <c r="B158">
        <v>1</v>
      </c>
      <c r="C158" s="36">
        <v>83760.759999999995</v>
      </c>
      <c r="D158" s="1">
        <v>44409</v>
      </c>
      <c r="E158" s="35">
        <f t="shared" si="14"/>
        <v>0.51</v>
      </c>
      <c r="F158" s="37">
        <f t="shared" si="15"/>
        <v>41880.379999999997</v>
      </c>
      <c r="G158" s="37">
        <f t="shared" si="16"/>
        <v>21358.9938</v>
      </c>
      <c r="H158" s="36" cm="1">
        <f t="array" ref="H158">SUMPRODUCT((C158&gt;tier_floor)*((C158-tier_floor)*step)*margin_rate)</f>
        <v>14733.993799999997</v>
      </c>
      <c r="I158" s="37">
        <f t="shared" si="17"/>
        <v>6625.0000000000036</v>
      </c>
      <c r="J158" s="38">
        <f t="shared" si="18"/>
        <v>2021</v>
      </c>
      <c r="K158" s="128">
        <f>(1+target)^($J158-(MIN(tbl_rep_mon[year])))</f>
        <v>1</v>
      </c>
      <c r="L158" s="35">
        <f t="shared" si="19"/>
        <v>0.51</v>
      </c>
      <c r="M158" s="37">
        <f t="shared" si="20"/>
        <v>21358.9938</v>
      </c>
    </row>
    <row r="159" spans="1:13" x14ac:dyDescent="0.4">
      <c r="A159" t="s">
        <v>24</v>
      </c>
      <c r="B159">
        <v>3</v>
      </c>
      <c r="C159" s="36">
        <v>47294.81</v>
      </c>
      <c r="D159" s="1">
        <v>44409</v>
      </c>
      <c r="E159" s="35">
        <f t="shared" si="14"/>
        <v>0.33</v>
      </c>
      <c r="F159" s="37">
        <f t="shared" si="15"/>
        <v>23647.404999999999</v>
      </c>
      <c r="G159" s="37">
        <f t="shared" si="16"/>
        <v>7803.64365</v>
      </c>
      <c r="H159" s="36" cm="1">
        <f t="array" ref="H159">SUMPRODUCT((C159&gt;tier_floor)*((C159-tier_floor)*step)*margin_rate)</f>
        <v>6803.64365</v>
      </c>
      <c r="I159" s="37">
        <f t="shared" si="17"/>
        <v>1000</v>
      </c>
      <c r="J159" s="38">
        <f t="shared" si="18"/>
        <v>2021</v>
      </c>
      <c r="K159" s="128">
        <f>(1+target)^($J159-(MIN(tbl_rep_mon[year])))</f>
        <v>1</v>
      </c>
      <c r="L159" s="35">
        <f t="shared" si="19"/>
        <v>0.33</v>
      </c>
      <c r="M159" s="37">
        <f t="shared" si="20"/>
        <v>7803.64365</v>
      </c>
    </row>
    <row r="160" spans="1:13" x14ac:dyDescent="0.4">
      <c r="A160" t="s">
        <v>25</v>
      </c>
      <c r="B160">
        <v>2</v>
      </c>
      <c r="C160" s="36">
        <v>70101.509999999995</v>
      </c>
      <c r="D160" s="1">
        <v>44409</v>
      </c>
      <c r="E160" s="35">
        <f t="shared" si="14"/>
        <v>0.42</v>
      </c>
      <c r="F160" s="37">
        <f t="shared" si="15"/>
        <v>35050.754999999997</v>
      </c>
      <c r="G160" s="37">
        <f t="shared" si="16"/>
        <v>14721.317099999998</v>
      </c>
      <c r="H160" s="36" cm="1">
        <f t="array" ref="H160">SUMPRODUCT((C160&gt;tier_floor)*((C160-tier_floor)*step)*margin_rate)</f>
        <v>11471.317099999998</v>
      </c>
      <c r="I160" s="37">
        <f t="shared" si="17"/>
        <v>3250</v>
      </c>
      <c r="J160" s="38">
        <f t="shared" si="18"/>
        <v>2021</v>
      </c>
      <c r="K160" s="128">
        <f>(1+target)^($J160-(MIN(tbl_rep_mon[year])))</f>
        <v>1</v>
      </c>
      <c r="L160" s="35">
        <f t="shared" si="19"/>
        <v>0.42</v>
      </c>
      <c r="M160" s="37">
        <f t="shared" si="20"/>
        <v>14721.317099999998</v>
      </c>
    </row>
    <row r="161" spans="1:13" x14ac:dyDescent="0.4">
      <c r="A161" t="s">
        <v>26</v>
      </c>
      <c r="B161">
        <v>2</v>
      </c>
      <c r="C161" s="36">
        <v>56533.85</v>
      </c>
      <c r="D161" s="1">
        <v>44409</v>
      </c>
      <c r="E161" s="35">
        <f t="shared" si="14"/>
        <v>0.42</v>
      </c>
      <c r="F161" s="37">
        <f t="shared" si="15"/>
        <v>28266.924999999999</v>
      </c>
      <c r="G161" s="37">
        <f t="shared" si="16"/>
        <v>11872.108499999998</v>
      </c>
      <c r="H161" s="36" cm="1">
        <f t="array" ref="H161">SUMPRODUCT((C161&gt;tier_floor)*((C161-tier_floor)*step)*margin_rate)</f>
        <v>8622.1085000000003</v>
      </c>
      <c r="I161" s="37">
        <f t="shared" si="17"/>
        <v>3249.9999999999982</v>
      </c>
      <c r="J161" s="38">
        <f t="shared" si="18"/>
        <v>2021</v>
      </c>
      <c r="K161" s="128">
        <f>(1+target)^($J161-(MIN(tbl_rep_mon[year])))</f>
        <v>1</v>
      </c>
      <c r="L161" s="35">
        <f t="shared" si="19"/>
        <v>0.42</v>
      </c>
      <c r="M161" s="37">
        <f t="shared" si="20"/>
        <v>11872.108499999998</v>
      </c>
    </row>
    <row r="162" spans="1:13" x14ac:dyDescent="0.4">
      <c r="A162" t="s">
        <v>4</v>
      </c>
      <c r="B162">
        <v>4</v>
      </c>
      <c r="C162" s="36">
        <v>49108.98</v>
      </c>
      <c r="D162" s="1">
        <v>44440</v>
      </c>
      <c r="E162" s="35">
        <f t="shared" si="14"/>
        <v>0.33</v>
      </c>
      <c r="F162" s="37">
        <f t="shared" si="15"/>
        <v>24554.49</v>
      </c>
      <c r="G162" s="37">
        <f t="shared" si="16"/>
        <v>8102.9817000000012</v>
      </c>
      <c r="H162" s="36" cm="1">
        <f t="array" ref="H162">SUMPRODUCT((C162&gt;tier_floor)*((C162-tier_floor)*step)*margin_rate)</f>
        <v>7102.9817000000003</v>
      </c>
      <c r="I162" s="37">
        <f t="shared" si="17"/>
        <v>1000.0000000000009</v>
      </c>
      <c r="J162" s="38">
        <f t="shared" si="18"/>
        <v>2021</v>
      </c>
      <c r="K162" s="128">
        <f>(1+target)^($J162-(MIN(tbl_rep_mon[year])))</f>
        <v>1</v>
      </c>
      <c r="L162" s="35">
        <f t="shared" si="19"/>
        <v>0.33</v>
      </c>
      <c r="M162" s="37">
        <f t="shared" si="20"/>
        <v>8102.9817000000012</v>
      </c>
    </row>
    <row r="163" spans="1:13" x14ac:dyDescent="0.4">
      <c r="A163" t="s">
        <v>6</v>
      </c>
      <c r="B163">
        <v>2</v>
      </c>
      <c r="C163" s="36">
        <v>50783.49</v>
      </c>
      <c r="D163" s="1">
        <v>44440</v>
      </c>
      <c r="E163" s="35">
        <f t="shared" si="14"/>
        <v>0.42</v>
      </c>
      <c r="F163" s="37">
        <f t="shared" si="15"/>
        <v>25391.744999999999</v>
      </c>
      <c r="G163" s="37">
        <f t="shared" si="16"/>
        <v>10664.532899999998</v>
      </c>
      <c r="H163" s="36" cm="1">
        <f t="array" ref="H163">SUMPRODUCT((C163&gt;tier_floor)*((C163-tier_floor)*step)*margin_rate)</f>
        <v>7414.5329000000002</v>
      </c>
      <c r="I163" s="37">
        <f t="shared" si="17"/>
        <v>3249.9999999999982</v>
      </c>
      <c r="J163" s="38">
        <f t="shared" si="18"/>
        <v>2021</v>
      </c>
      <c r="K163" s="128">
        <f>(1+target)^($J163-(MIN(tbl_rep_mon[year])))</f>
        <v>1</v>
      </c>
      <c r="L163" s="35">
        <f t="shared" si="19"/>
        <v>0.42</v>
      </c>
      <c r="M163" s="37">
        <f t="shared" si="20"/>
        <v>10664.532899999998</v>
      </c>
    </row>
    <row r="164" spans="1:13" x14ac:dyDescent="0.4">
      <c r="A164" t="s">
        <v>7</v>
      </c>
      <c r="B164">
        <v>4</v>
      </c>
      <c r="C164" s="36">
        <v>44480.24</v>
      </c>
      <c r="D164" s="1">
        <v>44440</v>
      </c>
      <c r="E164" s="35">
        <f t="shared" si="14"/>
        <v>0.33</v>
      </c>
      <c r="F164" s="37">
        <f t="shared" si="15"/>
        <v>22240.12</v>
      </c>
      <c r="G164" s="37">
        <f t="shared" si="16"/>
        <v>7339.2395999999999</v>
      </c>
      <c r="H164" s="36" cm="1">
        <f t="array" ref="H164">SUMPRODUCT((C164&gt;tier_floor)*((C164-tier_floor)*step)*margin_rate)</f>
        <v>6339.2395999999999</v>
      </c>
      <c r="I164" s="37">
        <f t="shared" si="17"/>
        <v>1000</v>
      </c>
      <c r="J164" s="38">
        <f t="shared" si="18"/>
        <v>2021</v>
      </c>
      <c r="K164" s="128">
        <f>(1+target)^($J164-(MIN(tbl_rep_mon[year])))</f>
        <v>1</v>
      </c>
      <c r="L164" s="35">
        <f t="shared" si="19"/>
        <v>0.33</v>
      </c>
      <c r="M164" s="37">
        <f t="shared" si="20"/>
        <v>7339.2395999999999</v>
      </c>
    </row>
    <row r="165" spans="1:13" x14ac:dyDescent="0.4">
      <c r="A165" t="s">
        <v>8</v>
      </c>
      <c r="B165">
        <v>4</v>
      </c>
      <c r="C165" s="36">
        <v>51522.46</v>
      </c>
      <c r="D165" s="1">
        <v>44440</v>
      </c>
      <c r="E165" s="35">
        <f t="shared" si="14"/>
        <v>0.42</v>
      </c>
      <c r="F165" s="37">
        <f t="shared" si="15"/>
        <v>25761.23</v>
      </c>
      <c r="G165" s="37">
        <f t="shared" si="16"/>
        <v>10819.7166</v>
      </c>
      <c r="H165" s="36" cm="1">
        <f t="array" ref="H165">SUMPRODUCT((C165&gt;tier_floor)*((C165-tier_floor)*step)*margin_rate)</f>
        <v>7569.7165999999997</v>
      </c>
      <c r="I165" s="37">
        <f t="shared" si="17"/>
        <v>3250</v>
      </c>
      <c r="J165" s="38">
        <f t="shared" si="18"/>
        <v>2021</v>
      </c>
      <c r="K165" s="128">
        <f>(1+target)^($J165-(MIN(tbl_rep_mon[year])))</f>
        <v>1</v>
      </c>
      <c r="L165" s="35">
        <f t="shared" si="19"/>
        <v>0.42</v>
      </c>
      <c r="M165" s="37">
        <f t="shared" si="20"/>
        <v>10819.7166</v>
      </c>
    </row>
    <row r="166" spans="1:13" x14ac:dyDescent="0.4">
      <c r="A166" t="s">
        <v>10</v>
      </c>
      <c r="B166">
        <v>3</v>
      </c>
      <c r="C166" s="36">
        <v>70217.37</v>
      </c>
      <c r="D166" s="1">
        <v>44440</v>
      </c>
      <c r="E166" s="35">
        <f t="shared" si="14"/>
        <v>0.42</v>
      </c>
      <c r="F166" s="37">
        <f t="shared" si="15"/>
        <v>35108.684999999998</v>
      </c>
      <c r="G166" s="37">
        <f t="shared" si="16"/>
        <v>14745.647699999998</v>
      </c>
      <c r="H166" s="36" cm="1">
        <f t="array" ref="H166">SUMPRODUCT((C166&gt;tier_floor)*((C166-tier_floor)*step)*margin_rate)</f>
        <v>11495.6477</v>
      </c>
      <c r="I166" s="37">
        <f t="shared" si="17"/>
        <v>3249.9999999999982</v>
      </c>
      <c r="J166" s="38">
        <f t="shared" si="18"/>
        <v>2021</v>
      </c>
      <c r="K166" s="128">
        <f>(1+target)^($J166-(MIN(tbl_rep_mon[year])))</f>
        <v>1</v>
      </c>
      <c r="L166" s="35">
        <f t="shared" si="19"/>
        <v>0.42</v>
      </c>
      <c r="M166" s="37">
        <f t="shared" si="20"/>
        <v>14745.647699999998</v>
      </c>
    </row>
    <row r="167" spans="1:13" x14ac:dyDescent="0.4">
      <c r="A167" t="s">
        <v>11</v>
      </c>
      <c r="B167">
        <v>1</v>
      </c>
      <c r="C167" s="36">
        <v>57865.11</v>
      </c>
      <c r="D167" s="1">
        <v>44440</v>
      </c>
      <c r="E167" s="35">
        <f t="shared" si="14"/>
        <v>0.42</v>
      </c>
      <c r="F167" s="37">
        <f t="shared" si="15"/>
        <v>28932.555</v>
      </c>
      <c r="G167" s="37">
        <f t="shared" si="16"/>
        <v>12151.6731</v>
      </c>
      <c r="H167" s="36" cm="1">
        <f t="array" ref="H167">SUMPRODUCT((C167&gt;tier_floor)*((C167-tier_floor)*step)*margin_rate)</f>
        <v>8901.6731</v>
      </c>
      <c r="I167" s="37">
        <f t="shared" si="17"/>
        <v>3250</v>
      </c>
      <c r="J167" s="38">
        <f t="shared" si="18"/>
        <v>2021</v>
      </c>
      <c r="K167" s="128">
        <f>(1+target)^($J167-(MIN(tbl_rep_mon[year])))</f>
        <v>1</v>
      </c>
      <c r="L167" s="35">
        <f t="shared" si="19"/>
        <v>0.42</v>
      </c>
      <c r="M167" s="37">
        <f t="shared" si="20"/>
        <v>12151.6731</v>
      </c>
    </row>
    <row r="168" spans="1:13" x14ac:dyDescent="0.4">
      <c r="A168" t="s">
        <v>12</v>
      </c>
      <c r="B168">
        <v>2</v>
      </c>
      <c r="C168" s="36">
        <v>58892.54</v>
      </c>
      <c r="D168" s="1">
        <v>44440</v>
      </c>
      <c r="E168" s="35">
        <f t="shared" si="14"/>
        <v>0.42</v>
      </c>
      <c r="F168" s="37">
        <f t="shared" si="15"/>
        <v>29446.27</v>
      </c>
      <c r="G168" s="37">
        <f t="shared" si="16"/>
        <v>12367.4334</v>
      </c>
      <c r="H168" s="36" cm="1">
        <f t="array" ref="H168">SUMPRODUCT((C168&gt;tier_floor)*((C168-tier_floor)*step)*margin_rate)</f>
        <v>9117.4334000000017</v>
      </c>
      <c r="I168" s="37">
        <f t="shared" si="17"/>
        <v>3249.9999999999982</v>
      </c>
      <c r="J168" s="38">
        <f t="shared" si="18"/>
        <v>2021</v>
      </c>
      <c r="K168" s="128">
        <f>(1+target)^($J168-(MIN(tbl_rep_mon[year])))</f>
        <v>1</v>
      </c>
      <c r="L168" s="35">
        <f t="shared" si="19"/>
        <v>0.42</v>
      </c>
      <c r="M168" s="37">
        <f t="shared" si="20"/>
        <v>12367.4334</v>
      </c>
    </row>
    <row r="169" spans="1:13" x14ac:dyDescent="0.4">
      <c r="A169" t="s">
        <v>13</v>
      </c>
      <c r="B169">
        <v>2</v>
      </c>
      <c r="C169" s="36">
        <v>67697.22</v>
      </c>
      <c r="D169" s="1">
        <v>44440</v>
      </c>
      <c r="E169" s="35">
        <f t="shared" si="14"/>
        <v>0.42</v>
      </c>
      <c r="F169" s="37">
        <f t="shared" si="15"/>
        <v>33848.61</v>
      </c>
      <c r="G169" s="37">
        <f t="shared" si="16"/>
        <v>14216.4162</v>
      </c>
      <c r="H169" s="36" cm="1">
        <f t="array" ref="H169">SUMPRODUCT((C169&gt;tier_floor)*((C169-tier_floor)*step)*margin_rate)</f>
        <v>10966.4162</v>
      </c>
      <c r="I169" s="37">
        <f t="shared" si="17"/>
        <v>3250</v>
      </c>
      <c r="J169" s="38">
        <f t="shared" si="18"/>
        <v>2021</v>
      </c>
      <c r="K169" s="128">
        <f>(1+target)^($J169-(MIN(tbl_rep_mon[year])))</f>
        <v>1</v>
      </c>
      <c r="L169" s="35">
        <f t="shared" si="19"/>
        <v>0.42</v>
      </c>
      <c r="M169" s="37">
        <f t="shared" si="20"/>
        <v>14216.4162</v>
      </c>
    </row>
    <row r="170" spans="1:13" x14ac:dyDescent="0.4">
      <c r="A170" t="s">
        <v>14</v>
      </c>
      <c r="B170">
        <v>4</v>
      </c>
      <c r="C170" s="36">
        <v>46167.25</v>
      </c>
      <c r="D170" s="1">
        <v>44440</v>
      </c>
      <c r="E170" s="35">
        <f t="shared" si="14"/>
        <v>0.33</v>
      </c>
      <c r="F170" s="37">
        <f t="shared" si="15"/>
        <v>23083.625</v>
      </c>
      <c r="G170" s="37">
        <f t="shared" si="16"/>
        <v>7617.5962500000005</v>
      </c>
      <c r="H170" s="36" cm="1">
        <f t="array" ref="H170">SUMPRODUCT((C170&gt;tier_floor)*((C170-tier_floor)*step)*margin_rate)</f>
        <v>6617.5962500000005</v>
      </c>
      <c r="I170" s="37">
        <f t="shared" si="17"/>
        <v>1000</v>
      </c>
      <c r="J170" s="38">
        <f t="shared" si="18"/>
        <v>2021</v>
      </c>
      <c r="K170" s="128">
        <f>(1+target)^($J170-(MIN(tbl_rep_mon[year])))</f>
        <v>1</v>
      </c>
      <c r="L170" s="35">
        <f t="shared" si="19"/>
        <v>0.33</v>
      </c>
      <c r="M170" s="37">
        <f t="shared" si="20"/>
        <v>7617.5962500000005</v>
      </c>
    </row>
    <row r="171" spans="1:13" x14ac:dyDescent="0.4">
      <c r="A171" t="s">
        <v>15</v>
      </c>
      <c r="B171">
        <v>3</v>
      </c>
      <c r="C171" s="36">
        <v>77931.259999999995</v>
      </c>
      <c r="D171" s="1">
        <v>44440</v>
      </c>
      <c r="E171" s="35">
        <f t="shared" si="14"/>
        <v>0.51</v>
      </c>
      <c r="F171" s="37">
        <f t="shared" si="15"/>
        <v>38965.629999999997</v>
      </c>
      <c r="G171" s="37">
        <f t="shared" si="16"/>
        <v>19872.471299999997</v>
      </c>
      <c r="H171" s="36" cm="1">
        <f t="array" ref="H171">SUMPRODUCT((C171&gt;tier_floor)*((C171-tier_floor)*step)*margin_rate)</f>
        <v>13247.471299999999</v>
      </c>
      <c r="I171" s="37">
        <f t="shared" si="17"/>
        <v>6624.9999999999982</v>
      </c>
      <c r="J171" s="38">
        <f t="shared" si="18"/>
        <v>2021</v>
      </c>
      <c r="K171" s="128">
        <f>(1+target)^($J171-(MIN(tbl_rep_mon[year])))</f>
        <v>1</v>
      </c>
      <c r="L171" s="35">
        <f t="shared" si="19"/>
        <v>0.51</v>
      </c>
      <c r="M171" s="37">
        <f t="shared" si="20"/>
        <v>19872.471299999997</v>
      </c>
    </row>
    <row r="172" spans="1:13" x14ac:dyDescent="0.4">
      <c r="A172" t="s">
        <v>16</v>
      </c>
      <c r="B172">
        <v>3</v>
      </c>
      <c r="C172" s="36">
        <v>70390.97</v>
      </c>
      <c r="D172" s="1">
        <v>44440</v>
      </c>
      <c r="E172" s="35">
        <f t="shared" si="14"/>
        <v>0.42</v>
      </c>
      <c r="F172" s="37">
        <f t="shared" si="15"/>
        <v>35195.485000000001</v>
      </c>
      <c r="G172" s="37">
        <f t="shared" si="16"/>
        <v>14782.1037</v>
      </c>
      <c r="H172" s="36" cm="1">
        <f t="array" ref="H172">SUMPRODUCT((C172&gt;tier_floor)*((C172-tier_floor)*step)*margin_rate)</f>
        <v>11532.1037</v>
      </c>
      <c r="I172" s="37">
        <f t="shared" si="17"/>
        <v>3250</v>
      </c>
      <c r="J172" s="38">
        <f t="shared" si="18"/>
        <v>2021</v>
      </c>
      <c r="K172" s="128">
        <f>(1+target)^($J172-(MIN(tbl_rep_mon[year])))</f>
        <v>1</v>
      </c>
      <c r="L172" s="35">
        <f t="shared" si="19"/>
        <v>0.42</v>
      </c>
      <c r="M172" s="37">
        <f t="shared" si="20"/>
        <v>14782.1037</v>
      </c>
    </row>
    <row r="173" spans="1:13" x14ac:dyDescent="0.4">
      <c r="A173" t="s">
        <v>18</v>
      </c>
      <c r="B173">
        <v>3</v>
      </c>
      <c r="C173" s="36">
        <v>57416.61</v>
      </c>
      <c r="D173" s="1">
        <v>44440</v>
      </c>
      <c r="E173" s="35">
        <f t="shared" si="14"/>
        <v>0.42</v>
      </c>
      <c r="F173" s="37">
        <f t="shared" si="15"/>
        <v>28708.305</v>
      </c>
      <c r="G173" s="37">
        <f t="shared" si="16"/>
        <v>12057.4881</v>
      </c>
      <c r="H173" s="36" cm="1">
        <f t="array" ref="H173">SUMPRODUCT((C173&gt;tier_floor)*((C173-tier_floor)*step)*margin_rate)</f>
        <v>8807.4881000000005</v>
      </c>
      <c r="I173" s="37">
        <f t="shared" si="17"/>
        <v>3250</v>
      </c>
      <c r="J173" s="38">
        <f t="shared" si="18"/>
        <v>2021</v>
      </c>
      <c r="K173" s="128">
        <f>(1+target)^($J173-(MIN(tbl_rep_mon[year])))</f>
        <v>1</v>
      </c>
      <c r="L173" s="35">
        <f t="shared" si="19"/>
        <v>0.42</v>
      </c>
      <c r="M173" s="37">
        <f t="shared" si="20"/>
        <v>12057.4881</v>
      </c>
    </row>
    <row r="174" spans="1:13" x14ac:dyDescent="0.4">
      <c r="A174" t="s">
        <v>19</v>
      </c>
      <c r="B174">
        <v>4</v>
      </c>
      <c r="C174" s="36">
        <v>49310.63</v>
      </c>
      <c r="D174" s="1">
        <v>44440</v>
      </c>
      <c r="E174" s="35">
        <f t="shared" si="14"/>
        <v>0.33</v>
      </c>
      <c r="F174" s="37">
        <f t="shared" si="15"/>
        <v>24655.314999999999</v>
      </c>
      <c r="G174" s="37">
        <f t="shared" si="16"/>
        <v>8136.2539500000003</v>
      </c>
      <c r="H174" s="36" cm="1">
        <f t="array" ref="H174">SUMPRODUCT((C174&gt;tier_floor)*((C174-tier_floor)*step)*margin_rate)</f>
        <v>7136.2539500000003</v>
      </c>
      <c r="I174" s="37">
        <f t="shared" si="17"/>
        <v>1000</v>
      </c>
      <c r="J174" s="38">
        <f t="shared" si="18"/>
        <v>2021</v>
      </c>
      <c r="K174" s="128">
        <f>(1+target)^($J174-(MIN(tbl_rep_mon[year])))</f>
        <v>1</v>
      </c>
      <c r="L174" s="35">
        <f t="shared" si="19"/>
        <v>0.33</v>
      </c>
      <c r="M174" s="37">
        <f t="shared" si="20"/>
        <v>8136.2539500000003</v>
      </c>
    </row>
    <row r="175" spans="1:13" x14ac:dyDescent="0.4">
      <c r="A175" t="s">
        <v>20</v>
      </c>
      <c r="B175">
        <v>4</v>
      </c>
      <c r="C175" s="36">
        <v>49173.78</v>
      </c>
      <c r="D175" s="1">
        <v>44440</v>
      </c>
      <c r="E175" s="35">
        <f t="shared" si="14"/>
        <v>0.33</v>
      </c>
      <c r="F175" s="37">
        <f t="shared" si="15"/>
        <v>24586.89</v>
      </c>
      <c r="G175" s="37">
        <f t="shared" si="16"/>
        <v>8113.6737000000003</v>
      </c>
      <c r="H175" s="36" cm="1">
        <f t="array" ref="H175">SUMPRODUCT((C175&gt;tier_floor)*((C175-tier_floor)*step)*margin_rate)</f>
        <v>7113.6737000000003</v>
      </c>
      <c r="I175" s="37">
        <f t="shared" si="17"/>
        <v>1000</v>
      </c>
      <c r="J175" s="38">
        <f t="shared" si="18"/>
        <v>2021</v>
      </c>
      <c r="K175" s="128">
        <f>(1+target)^($J175-(MIN(tbl_rep_mon[year])))</f>
        <v>1</v>
      </c>
      <c r="L175" s="35">
        <f t="shared" si="19"/>
        <v>0.33</v>
      </c>
      <c r="M175" s="37">
        <f t="shared" si="20"/>
        <v>8113.6737000000003</v>
      </c>
    </row>
    <row r="176" spans="1:13" x14ac:dyDescent="0.4">
      <c r="A176" t="s">
        <v>21</v>
      </c>
      <c r="B176">
        <v>4</v>
      </c>
      <c r="C176" s="36">
        <v>39429.14</v>
      </c>
      <c r="D176" s="1">
        <v>44440</v>
      </c>
      <c r="E176" s="35">
        <f t="shared" si="14"/>
        <v>0.33</v>
      </c>
      <c r="F176" s="37">
        <f t="shared" si="15"/>
        <v>19714.57</v>
      </c>
      <c r="G176" s="37">
        <f t="shared" si="16"/>
        <v>6505.8081000000002</v>
      </c>
      <c r="H176" s="36" cm="1">
        <f t="array" ref="H176">SUMPRODUCT((C176&gt;tier_floor)*((C176-tier_floor)*step)*margin_rate)</f>
        <v>5505.8081000000002</v>
      </c>
      <c r="I176" s="37">
        <f t="shared" si="17"/>
        <v>1000</v>
      </c>
      <c r="J176" s="38">
        <f t="shared" si="18"/>
        <v>2021</v>
      </c>
      <c r="K176" s="128">
        <f>(1+target)^($J176-(MIN(tbl_rep_mon[year])))</f>
        <v>1</v>
      </c>
      <c r="L176" s="35">
        <f t="shared" si="19"/>
        <v>0.33</v>
      </c>
      <c r="M176" s="37">
        <f t="shared" si="20"/>
        <v>6505.8081000000002</v>
      </c>
    </row>
    <row r="177" spans="1:13" x14ac:dyDescent="0.4">
      <c r="A177" t="s">
        <v>22</v>
      </c>
      <c r="B177">
        <v>4</v>
      </c>
      <c r="C177" s="36">
        <v>57154.23</v>
      </c>
      <c r="D177" s="1">
        <v>44440</v>
      </c>
      <c r="E177" s="35">
        <f t="shared" si="14"/>
        <v>0.42</v>
      </c>
      <c r="F177" s="37">
        <f t="shared" si="15"/>
        <v>28577.115000000002</v>
      </c>
      <c r="G177" s="37">
        <f t="shared" si="16"/>
        <v>12002.388300000001</v>
      </c>
      <c r="H177" s="36" cm="1">
        <f t="array" ref="H177">SUMPRODUCT((C177&gt;tier_floor)*((C177-tier_floor)*step)*margin_rate)</f>
        <v>8752.3883000000023</v>
      </c>
      <c r="I177" s="37">
        <f t="shared" si="17"/>
        <v>3249.9999999999982</v>
      </c>
      <c r="J177" s="38">
        <f t="shared" si="18"/>
        <v>2021</v>
      </c>
      <c r="K177" s="128">
        <f>(1+target)^($J177-(MIN(tbl_rep_mon[year])))</f>
        <v>1</v>
      </c>
      <c r="L177" s="35">
        <f t="shared" si="19"/>
        <v>0.42</v>
      </c>
      <c r="M177" s="37">
        <f t="shared" si="20"/>
        <v>12002.388300000001</v>
      </c>
    </row>
    <row r="178" spans="1:13" x14ac:dyDescent="0.4">
      <c r="A178" t="s">
        <v>23</v>
      </c>
      <c r="B178">
        <v>1</v>
      </c>
      <c r="C178" s="36">
        <v>75195.350000000006</v>
      </c>
      <c r="D178" s="1">
        <v>44440</v>
      </c>
      <c r="E178" s="35">
        <f t="shared" si="14"/>
        <v>0.51</v>
      </c>
      <c r="F178" s="37">
        <f t="shared" si="15"/>
        <v>37597.675000000003</v>
      </c>
      <c r="G178" s="37">
        <f t="shared" si="16"/>
        <v>19174.814250000003</v>
      </c>
      <c r="H178" s="36" cm="1">
        <f t="array" ref="H178">SUMPRODUCT((C178&gt;tier_floor)*((C178-tier_floor)*step)*margin_rate)</f>
        <v>12549.814250000001</v>
      </c>
      <c r="I178" s="37">
        <f t="shared" si="17"/>
        <v>6625.0000000000018</v>
      </c>
      <c r="J178" s="38">
        <f t="shared" si="18"/>
        <v>2021</v>
      </c>
      <c r="K178" s="128">
        <f>(1+target)^($J178-(MIN(tbl_rep_mon[year])))</f>
        <v>1</v>
      </c>
      <c r="L178" s="35">
        <f t="shared" si="19"/>
        <v>0.51</v>
      </c>
      <c r="M178" s="37">
        <f t="shared" si="20"/>
        <v>19174.814250000003</v>
      </c>
    </row>
    <row r="179" spans="1:13" x14ac:dyDescent="0.4">
      <c r="A179" t="s">
        <v>24</v>
      </c>
      <c r="B179">
        <v>3</v>
      </c>
      <c r="C179" s="36">
        <v>41166.720000000001</v>
      </c>
      <c r="D179" s="1">
        <v>44440</v>
      </c>
      <c r="E179" s="35">
        <f t="shared" si="14"/>
        <v>0.33</v>
      </c>
      <c r="F179" s="37">
        <f t="shared" si="15"/>
        <v>20583.36</v>
      </c>
      <c r="G179" s="37">
        <f t="shared" si="16"/>
        <v>6792.5088000000005</v>
      </c>
      <c r="H179" s="36" cm="1">
        <f t="array" ref="H179">SUMPRODUCT((C179&gt;tier_floor)*((C179-tier_floor)*step)*margin_rate)</f>
        <v>5792.5088000000005</v>
      </c>
      <c r="I179" s="37">
        <f t="shared" si="17"/>
        <v>1000</v>
      </c>
      <c r="J179" s="38">
        <f t="shared" si="18"/>
        <v>2021</v>
      </c>
      <c r="K179" s="128">
        <f>(1+target)^($J179-(MIN(tbl_rep_mon[year])))</f>
        <v>1</v>
      </c>
      <c r="L179" s="35">
        <f t="shared" si="19"/>
        <v>0.33</v>
      </c>
      <c r="M179" s="37">
        <f t="shared" si="20"/>
        <v>6792.5088000000005</v>
      </c>
    </row>
    <row r="180" spans="1:13" x14ac:dyDescent="0.4">
      <c r="A180" t="s">
        <v>25</v>
      </c>
      <c r="B180">
        <v>2</v>
      </c>
      <c r="C180" s="36">
        <v>67315.02</v>
      </c>
      <c r="D180" s="1">
        <v>44440</v>
      </c>
      <c r="E180" s="35">
        <f t="shared" si="14"/>
        <v>0.42</v>
      </c>
      <c r="F180" s="37">
        <f t="shared" si="15"/>
        <v>33657.51</v>
      </c>
      <c r="G180" s="37">
        <f t="shared" si="16"/>
        <v>14136.154200000001</v>
      </c>
      <c r="H180" s="36" cm="1">
        <f t="array" ref="H180">SUMPRODUCT((C180&gt;tier_floor)*((C180-tier_floor)*step)*margin_rate)</f>
        <v>10886.154200000001</v>
      </c>
      <c r="I180" s="37">
        <f t="shared" si="17"/>
        <v>3250</v>
      </c>
      <c r="J180" s="38">
        <f t="shared" si="18"/>
        <v>2021</v>
      </c>
      <c r="K180" s="128">
        <f>(1+target)^($J180-(MIN(tbl_rep_mon[year])))</f>
        <v>1</v>
      </c>
      <c r="L180" s="35">
        <f t="shared" si="19"/>
        <v>0.42</v>
      </c>
      <c r="M180" s="37">
        <f t="shared" si="20"/>
        <v>14136.154200000001</v>
      </c>
    </row>
    <row r="181" spans="1:13" x14ac:dyDescent="0.4">
      <c r="A181" t="s">
        <v>26</v>
      </c>
      <c r="B181">
        <v>2</v>
      </c>
      <c r="C181" s="36">
        <v>55151.63</v>
      </c>
      <c r="D181" s="1">
        <v>44440</v>
      </c>
      <c r="E181" s="35">
        <f t="shared" si="14"/>
        <v>0.42</v>
      </c>
      <c r="F181" s="37">
        <f t="shared" si="15"/>
        <v>27575.814999999999</v>
      </c>
      <c r="G181" s="37">
        <f t="shared" si="16"/>
        <v>11581.842299999998</v>
      </c>
      <c r="H181" s="36" cm="1">
        <f t="array" ref="H181">SUMPRODUCT((C181&gt;tier_floor)*((C181-tier_floor)*step)*margin_rate)</f>
        <v>8331.8423000000003</v>
      </c>
      <c r="I181" s="37">
        <f t="shared" si="17"/>
        <v>3249.9999999999982</v>
      </c>
      <c r="J181" s="38">
        <f t="shared" si="18"/>
        <v>2021</v>
      </c>
      <c r="K181" s="128">
        <f>(1+target)^($J181-(MIN(tbl_rep_mon[year])))</f>
        <v>1</v>
      </c>
      <c r="L181" s="35">
        <f t="shared" si="19"/>
        <v>0.42</v>
      </c>
      <c r="M181" s="37">
        <f t="shared" si="20"/>
        <v>11581.842299999998</v>
      </c>
    </row>
    <row r="182" spans="1:13" x14ac:dyDescent="0.4">
      <c r="A182" t="s">
        <v>4</v>
      </c>
      <c r="B182">
        <v>4</v>
      </c>
      <c r="C182" s="36">
        <v>48955.29</v>
      </c>
      <c r="D182" s="1">
        <v>44470</v>
      </c>
      <c r="E182" s="35">
        <f t="shared" si="14"/>
        <v>0.33</v>
      </c>
      <c r="F182" s="37">
        <f t="shared" si="15"/>
        <v>24477.645</v>
      </c>
      <c r="G182" s="37">
        <f t="shared" si="16"/>
        <v>8077.6228500000007</v>
      </c>
      <c r="H182" s="36" cm="1">
        <f t="array" ref="H182">SUMPRODUCT((C182&gt;tier_floor)*((C182-tier_floor)*step)*margin_rate)</f>
        <v>7077.6228500000007</v>
      </c>
      <c r="I182" s="37">
        <f t="shared" si="17"/>
        <v>1000</v>
      </c>
      <c r="J182" s="38">
        <f t="shared" si="18"/>
        <v>2021</v>
      </c>
      <c r="K182" s="128">
        <f>(1+target)^($J182-(MIN(tbl_rep_mon[year])))</f>
        <v>1</v>
      </c>
      <c r="L182" s="35">
        <f t="shared" si="19"/>
        <v>0.33</v>
      </c>
      <c r="M182" s="37">
        <f t="shared" si="20"/>
        <v>8077.6228500000007</v>
      </c>
    </row>
    <row r="183" spans="1:13" x14ac:dyDescent="0.4">
      <c r="A183" t="s">
        <v>6</v>
      </c>
      <c r="B183">
        <v>2</v>
      </c>
      <c r="C183" s="36">
        <v>42208.83</v>
      </c>
      <c r="D183" s="1">
        <v>44470</v>
      </c>
      <c r="E183" s="35">
        <f t="shared" si="14"/>
        <v>0.33</v>
      </c>
      <c r="F183" s="37">
        <f t="shared" si="15"/>
        <v>21104.415000000001</v>
      </c>
      <c r="G183" s="37">
        <f t="shared" si="16"/>
        <v>6964.4569500000007</v>
      </c>
      <c r="H183" s="36" cm="1">
        <f t="array" ref="H183">SUMPRODUCT((C183&gt;tier_floor)*((C183-tier_floor)*step)*margin_rate)</f>
        <v>5964.4569500000007</v>
      </c>
      <c r="I183" s="37">
        <f t="shared" si="17"/>
        <v>1000</v>
      </c>
      <c r="J183" s="38">
        <f t="shared" si="18"/>
        <v>2021</v>
      </c>
      <c r="K183" s="128">
        <f>(1+target)^($J183-(MIN(tbl_rep_mon[year])))</f>
        <v>1</v>
      </c>
      <c r="L183" s="35">
        <f t="shared" si="19"/>
        <v>0.33</v>
      </c>
      <c r="M183" s="37">
        <f t="shared" si="20"/>
        <v>6964.4569500000007</v>
      </c>
    </row>
    <row r="184" spans="1:13" x14ac:dyDescent="0.4">
      <c r="A184" t="s">
        <v>7</v>
      </c>
      <c r="B184">
        <v>4</v>
      </c>
      <c r="C184" s="36">
        <v>55431.7</v>
      </c>
      <c r="D184" s="1">
        <v>44470</v>
      </c>
      <c r="E184" s="35">
        <f t="shared" si="14"/>
        <v>0.42</v>
      </c>
      <c r="F184" s="37">
        <f t="shared" si="15"/>
        <v>27715.85</v>
      </c>
      <c r="G184" s="37">
        <f t="shared" si="16"/>
        <v>11640.656999999999</v>
      </c>
      <c r="H184" s="36" cm="1">
        <f t="array" ref="H184">SUMPRODUCT((C184&gt;tier_floor)*((C184-tier_floor)*step)*margin_rate)</f>
        <v>8390.6569999999992</v>
      </c>
      <c r="I184" s="37">
        <f t="shared" si="17"/>
        <v>3250</v>
      </c>
      <c r="J184" s="38">
        <f t="shared" si="18"/>
        <v>2021</v>
      </c>
      <c r="K184" s="128">
        <f>(1+target)^($J184-(MIN(tbl_rep_mon[year])))</f>
        <v>1</v>
      </c>
      <c r="L184" s="35">
        <f t="shared" si="19"/>
        <v>0.42</v>
      </c>
      <c r="M184" s="37">
        <f t="shared" si="20"/>
        <v>11640.656999999999</v>
      </c>
    </row>
    <row r="185" spans="1:13" x14ac:dyDescent="0.4">
      <c r="A185" t="s">
        <v>8</v>
      </c>
      <c r="B185">
        <v>4</v>
      </c>
      <c r="C185" s="36">
        <v>48136.54</v>
      </c>
      <c r="D185" s="1">
        <v>44470</v>
      </c>
      <c r="E185" s="35">
        <f t="shared" si="14"/>
        <v>0.33</v>
      </c>
      <c r="F185" s="37">
        <f t="shared" si="15"/>
        <v>24068.27</v>
      </c>
      <c r="G185" s="37">
        <f t="shared" si="16"/>
        <v>7942.5291000000007</v>
      </c>
      <c r="H185" s="36" cm="1">
        <f t="array" ref="H185">SUMPRODUCT((C185&gt;tier_floor)*((C185-tier_floor)*step)*margin_rate)</f>
        <v>6942.5291000000007</v>
      </c>
      <c r="I185" s="37">
        <f t="shared" si="17"/>
        <v>1000</v>
      </c>
      <c r="J185" s="38">
        <f t="shared" si="18"/>
        <v>2021</v>
      </c>
      <c r="K185" s="128">
        <f>(1+target)^($J185-(MIN(tbl_rep_mon[year])))</f>
        <v>1</v>
      </c>
      <c r="L185" s="35">
        <f t="shared" si="19"/>
        <v>0.33</v>
      </c>
      <c r="M185" s="37">
        <f t="shared" si="20"/>
        <v>7942.5291000000007</v>
      </c>
    </row>
    <row r="186" spans="1:13" x14ac:dyDescent="0.4">
      <c r="A186" t="s">
        <v>10</v>
      </c>
      <c r="B186">
        <v>3</v>
      </c>
      <c r="C186" s="36">
        <v>68614.12</v>
      </c>
      <c r="D186" s="1">
        <v>44470</v>
      </c>
      <c r="E186" s="35">
        <f t="shared" si="14"/>
        <v>0.42</v>
      </c>
      <c r="F186" s="37">
        <f t="shared" si="15"/>
        <v>34307.06</v>
      </c>
      <c r="G186" s="37">
        <f t="shared" si="16"/>
        <v>14408.965199999999</v>
      </c>
      <c r="H186" s="36" cm="1">
        <f t="array" ref="H186">SUMPRODUCT((C186&gt;tier_floor)*((C186-tier_floor)*step)*margin_rate)</f>
        <v>11158.965199999999</v>
      </c>
      <c r="I186" s="37">
        <f t="shared" si="17"/>
        <v>3250</v>
      </c>
      <c r="J186" s="38">
        <f t="shared" si="18"/>
        <v>2021</v>
      </c>
      <c r="K186" s="128">
        <f>(1+target)^($J186-(MIN(tbl_rep_mon[year])))</f>
        <v>1</v>
      </c>
      <c r="L186" s="35">
        <f t="shared" si="19"/>
        <v>0.42</v>
      </c>
      <c r="M186" s="37">
        <f t="shared" si="20"/>
        <v>14408.965199999999</v>
      </c>
    </row>
    <row r="187" spans="1:13" x14ac:dyDescent="0.4">
      <c r="A187" t="s">
        <v>11</v>
      </c>
      <c r="B187">
        <v>1</v>
      </c>
      <c r="C187" s="36">
        <v>57078.11</v>
      </c>
      <c r="D187" s="1">
        <v>44470</v>
      </c>
      <c r="E187" s="35">
        <f t="shared" si="14"/>
        <v>0.42</v>
      </c>
      <c r="F187" s="37">
        <f t="shared" si="15"/>
        <v>28539.055</v>
      </c>
      <c r="G187" s="37">
        <f t="shared" si="16"/>
        <v>11986.4031</v>
      </c>
      <c r="H187" s="36" cm="1">
        <f t="array" ref="H187">SUMPRODUCT((C187&gt;tier_floor)*((C187-tier_floor)*step)*margin_rate)</f>
        <v>8736.4031000000014</v>
      </c>
      <c r="I187" s="37">
        <f t="shared" si="17"/>
        <v>3249.9999999999982</v>
      </c>
      <c r="J187" s="38">
        <f t="shared" si="18"/>
        <v>2021</v>
      </c>
      <c r="K187" s="128">
        <f>(1+target)^($J187-(MIN(tbl_rep_mon[year])))</f>
        <v>1</v>
      </c>
      <c r="L187" s="35">
        <f t="shared" si="19"/>
        <v>0.42</v>
      </c>
      <c r="M187" s="37">
        <f t="shared" si="20"/>
        <v>11986.4031</v>
      </c>
    </row>
    <row r="188" spans="1:13" x14ac:dyDescent="0.4">
      <c r="A188" t="s">
        <v>12</v>
      </c>
      <c r="B188">
        <v>2</v>
      </c>
      <c r="C188" s="36">
        <v>51297.91</v>
      </c>
      <c r="D188" s="1">
        <v>44470</v>
      </c>
      <c r="E188" s="35">
        <f t="shared" si="14"/>
        <v>0.42</v>
      </c>
      <c r="F188" s="37">
        <f t="shared" si="15"/>
        <v>25648.955000000002</v>
      </c>
      <c r="G188" s="37">
        <f t="shared" si="16"/>
        <v>10772.561100000001</v>
      </c>
      <c r="H188" s="36" cm="1">
        <f t="array" ref="H188">SUMPRODUCT((C188&gt;tier_floor)*((C188-tier_floor)*step)*margin_rate)</f>
        <v>7522.5611000000008</v>
      </c>
      <c r="I188" s="37">
        <f t="shared" si="17"/>
        <v>3250</v>
      </c>
      <c r="J188" s="38">
        <f t="shared" si="18"/>
        <v>2021</v>
      </c>
      <c r="K188" s="128">
        <f>(1+target)^($J188-(MIN(tbl_rep_mon[year])))</f>
        <v>1</v>
      </c>
      <c r="L188" s="35">
        <f t="shared" si="19"/>
        <v>0.42</v>
      </c>
      <c r="M188" s="37">
        <f t="shared" si="20"/>
        <v>10772.561100000001</v>
      </c>
    </row>
    <row r="189" spans="1:13" x14ac:dyDescent="0.4">
      <c r="A189" t="s">
        <v>13</v>
      </c>
      <c r="B189">
        <v>2</v>
      </c>
      <c r="C189" s="36">
        <v>64907.6</v>
      </c>
      <c r="D189" s="1">
        <v>44470</v>
      </c>
      <c r="E189" s="35">
        <f t="shared" si="14"/>
        <v>0.42</v>
      </c>
      <c r="F189" s="37">
        <f t="shared" si="15"/>
        <v>32453.8</v>
      </c>
      <c r="G189" s="37">
        <f t="shared" si="16"/>
        <v>13630.596</v>
      </c>
      <c r="H189" s="36" cm="1">
        <f t="array" ref="H189">SUMPRODUCT((C189&gt;tier_floor)*((C189-tier_floor)*step)*margin_rate)</f>
        <v>10380.596000000001</v>
      </c>
      <c r="I189" s="37">
        <f t="shared" si="17"/>
        <v>3249.9999999999982</v>
      </c>
      <c r="J189" s="38">
        <f t="shared" si="18"/>
        <v>2021</v>
      </c>
      <c r="K189" s="128">
        <f>(1+target)^($J189-(MIN(tbl_rep_mon[year])))</f>
        <v>1</v>
      </c>
      <c r="L189" s="35">
        <f t="shared" si="19"/>
        <v>0.42</v>
      </c>
      <c r="M189" s="37">
        <f t="shared" si="20"/>
        <v>13630.596</v>
      </c>
    </row>
    <row r="190" spans="1:13" x14ac:dyDescent="0.4">
      <c r="A190" t="s">
        <v>14</v>
      </c>
      <c r="B190">
        <v>4</v>
      </c>
      <c r="C190" s="36">
        <v>8332.7099999999991</v>
      </c>
      <c r="D190" s="1">
        <v>44470</v>
      </c>
      <c r="E190" s="35">
        <f t="shared" si="14"/>
        <v>0.25</v>
      </c>
      <c r="F190" s="37">
        <f t="shared" si="15"/>
        <v>4166.3549999999996</v>
      </c>
      <c r="G190" s="37">
        <f t="shared" si="16"/>
        <v>1041.5887499999999</v>
      </c>
      <c r="H190" s="36" cm="1">
        <f t="array" ref="H190">SUMPRODUCT((C190&gt;tier_floor)*((C190-tier_floor)*step)*margin_rate)</f>
        <v>1041.5887499999999</v>
      </c>
      <c r="I190" s="37">
        <f t="shared" si="17"/>
        <v>0</v>
      </c>
      <c r="J190" s="38">
        <f t="shared" si="18"/>
        <v>2021</v>
      </c>
      <c r="K190" s="128">
        <f>(1+target)^($J190-(MIN(tbl_rep_mon[year])))</f>
        <v>1</v>
      </c>
      <c r="L190" s="35">
        <f t="shared" si="19"/>
        <v>0.25</v>
      </c>
      <c r="M190" s="37">
        <f t="shared" si="20"/>
        <v>1041.5887499999999</v>
      </c>
    </row>
    <row r="191" spans="1:13" x14ac:dyDescent="0.4">
      <c r="A191" t="s">
        <v>15</v>
      </c>
      <c r="B191">
        <v>3</v>
      </c>
      <c r="C191" s="36">
        <v>47144.01</v>
      </c>
      <c r="D191" s="1">
        <v>44470</v>
      </c>
      <c r="E191" s="35">
        <f t="shared" si="14"/>
        <v>0.33</v>
      </c>
      <c r="F191" s="37">
        <f t="shared" si="15"/>
        <v>23572.005000000001</v>
      </c>
      <c r="G191" s="37">
        <f t="shared" si="16"/>
        <v>7778.7616500000004</v>
      </c>
      <c r="H191" s="36" cm="1">
        <f t="array" ref="H191">SUMPRODUCT((C191&gt;tier_floor)*((C191-tier_floor)*step)*margin_rate)</f>
        <v>6778.7616500000004</v>
      </c>
      <c r="I191" s="37">
        <f t="shared" si="17"/>
        <v>1000</v>
      </c>
      <c r="J191" s="38">
        <f t="shared" si="18"/>
        <v>2021</v>
      </c>
      <c r="K191" s="128">
        <f>(1+target)^($J191-(MIN(tbl_rep_mon[year])))</f>
        <v>1</v>
      </c>
      <c r="L191" s="35">
        <f t="shared" si="19"/>
        <v>0.33</v>
      </c>
      <c r="M191" s="37">
        <f t="shared" si="20"/>
        <v>7778.7616500000004</v>
      </c>
    </row>
    <row r="192" spans="1:13" x14ac:dyDescent="0.4">
      <c r="A192" t="s">
        <v>16</v>
      </c>
      <c r="B192">
        <v>3</v>
      </c>
      <c r="C192" s="36">
        <v>57850.57</v>
      </c>
      <c r="D192" s="1">
        <v>44470</v>
      </c>
      <c r="E192" s="35">
        <f t="shared" si="14"/>
        <v>0.42</v>
      </c>
      <c r="F192" s="37">
        <f t="shared" si="15"/>
        <v>28925.285</v>
      </c>
      <c r="G192" s="37">
        <f t="shared" si="16"/>
        <v>12148.619699999999</v>
      </c>
      <c r="H192" s="36" cm="1">
        <f t="array" ref="H192">SUMPRODUCT((C192&gt;tier_floor)*((C192-tier_floor)*step)*margin_rate)</f>
        <v>8898.6196999999993</v>
      </c>
      <c r="I192" s="37">
        <f t="shared" si="17"/>
        <v>3250</v>
      </c>
      <c r="J192" s="38">
        <f t="shared" si="18"/>
        <v>2021</v>
      </c>
      <c r="K192" s="128">
        <f>(1+target)^($J192-(MIN(tbl_rep_mon[year])))</f>
        <v>1</v>
      </c>
      <c r="L192" s="35">
        <f t="shared" si="19"/>
        <v>0.42</v>
      </c>
      <c r="M192" s="37">
        <f t="shared" si="20"/>
        <v>12148.619699999999</v>
      </c>
    </row>
    <row r="193" spans="1:13" x14ac:dyDescent="0.4">
      <c r="A193" t="s">
        <v>18</v>
      </c>
      <c r="B193">
        <v>3</v>
      </c>
      <c r="C193" s="36">
        <v>68515.350000000006</v>
      </c>
      <c r="D193" s="1">
        <v>44470</v>
      </c>
      <c r="E193" s="35">
        <f t="shared" si="14"/>
        <v>0.42</v>
      </c>
      <c r="F193" s="37">
        <f t="shared" si="15"/>
        <v>34257.675000000003</v>
      </c>
      <c r="G193" s="37">
        <f t="shared" si="16"/>
        <v>14388.2235</v>
      </c>
      <c r="H193" s="36" cm="1">
        <f t="array" ref="H193">SUMPRODUCT((C193&gt;tier_floor)*((C193-tier_floor)*step)*margin_rate)</f>
        <v>11138.223500000002</v>
      </c>
      <c r="I193" s="37">
        <f t="shared" si="17"/>
        <v>3249.9999999999982</v>
      </c>
      <c r="J193" s="38">
        <f t="shared" si="18"/>
        <v>2021</v>
      </c>
      <c r="K193" s="128">
        <f>(1+target)^($J193-(MIN(tbl_rep_mon[year])))</f>
        <v>1</v>
      </c>
      <c r="L193" s="35">
        <f t="shared" si="19"/>
        <v>0.42</v>
      </c>
      <c r="M193" s="37">
        <f t="shared" si="20"/>
        <v>14388.2235</v>
      </c>
    </row>
    <row r="194" spans="1:13" x14ac:dyDescent="0.4">
      <c r="A194" t="s">
        <v>19</v>
      </c>
      <c r="B194">
        <v>4</v>
      </c>
      <c r="C194" s="36">
        <v>40042.22</v>
      </c>
      <c r="D194" s="1">
        <v>44470</v>
      </c>
      <c r="E194" s="35">
        <f t="shared" ref="E194:E257" si="21">_xlfn.XLOOKUP(C194,tier_floor,tier_rate,,-1)</f>
        <v>0.33</v>
      </c>
      <c r="F194" s="37">
        <f t="shared" ref="F194:F257" si="22">C194*margin_rate</f>
        <v>20021.11</v>
      </c>
      <c r="G194" s="37">
        <f t="shared" ref="G194:G257" si="23">F194*E194</f>
        <v>6606.966300000001</v>
      </c>
      <c r="H194" s="36" cm="1">
        <f t="array" ref="H194">SUMPRODUCT((C194&gt;tier_floor)*((C194-tier_floor)*step)*margin_rate)</f>
        <v>5606.9663</v>
      </c>
      <c r="I194" s="37">
        <f t="shared" ref="I194:I257" si="24">G194-H194</f>
        <v>1000.0000000000009</v>
      </c>
      <c r="J194" s="38">
        <f t="shared" ref="J194:J257" si="25">YEAR(D194)</f>
        <v>2021</v>
      </c>
      <c r="K194" s="128">
        <f>(1+target)^($J194-(MIN(tbl_rep_mon[year])))</f>
        <v>1</v>
      </c>
      <c r="L194" s="35">
        <f t="shared" ref="L194:L257" si="26">_xlfn.XLOOKUP(($C194/$K194),tier_floor,tier_rate,,-1)</f>
        <v>0.33</v>
      </c>
      <c r="M194" s="37">
        <f t="shared" ref="M194:M257" si="27">$F194*$L194</f>
        <v>6606.966300000001</v>
      </c>
    </row>
    <row r="195" spans="1:13" x14ac:dyDescent="0.4">
      <c r="A195" t="s">
        <v>20</v>
      </c>
      <c r="B195">
        <v>4</v>
      </c>
      <c r="C195" s="36">
        <v>40424.57</v>
      </c>
      <c r="D195" s="1">
        <v>44470</v>
      </c>
      <c r="E195" s="35">
        <f t="shared" si="21"/>
        <v>0.33</v>
      </c>
      <c r="F195" s="37">
        <f t="shared" si="22"/>
        <v>20212.285</v>
      </c>
      <c r="G195" s="37">
        <f t="shared" si="23"/>
        <v>6670.0540500000006</v>
      </c>
      <c r="H195" s="36" cm="1">
        <f t="array" ref="H195">SUMPRODUCT((C195&gt;tier_floor)*((C195-tier_floor)*step)*margin_rate)</f>
        <v>5670.0540499999997</v>
      </c>
      <c r="I195" s="37">
        <f t="shared" si="24"/>
        <v>1000.0000000000009</v>
      </c>
      <c r="J195" s="38">
        <f t="shared" si="25"/>
        <v>2021</v>
      </c>
      <c r="K195" s="128">
        <f>(1+target)^($J195-(MIN(tbl_rep_mon[year])))</f>
        <v>1</v>
      </c>
      <c r="L195" s="35">
        <f t="shared" si="26"/>
        <v>0.33</v>
      </c>
      <c r="M195" s="37">
        <f t="shared" si="27"/>
        <v>6670.0540500000006</v>
      </c>
    </row>
    <row r="196" spans="1:13" x14ac:dyDescent="0.4">
      <c r="A196" t="s">
        <v>21</v>
      </c>
      <c r="B196">
        <v>4</v>
      </c>
      <c r="C196" s="36">
        <v>49631.11</v>
      </c>
      <c r="D196" s="1">
        <v>44470</v>
      </c>
      <c r="E196" s="35">
        <f t="shared" si="21"/>
        <v>0.33</v>
      </c>
      <c r="F196" s="37">
        <f t="shared" si="22"/>
        <v>24815.555</v>
      </c>
      <c r="G196" s="37">
        <f t="shared" si="23"/>
        <v>8189.1331500000006</v>
      </c>
      <c r="H196" s="36" cm="1">
        <f t="array" ref="H196">SUMPRODUCT((C196&gt;tier_floor)*((C196-tier_floor)*step)*margin_rate)</f>
        <v>7189.1331500000006</v>
      </c>
      <c r="I196" s="37">
        <f t="shared" si="24"/>
        <v>1000</v>
      </c>
      <c r="J196" s="38">
        <f t="shared" si="25"/>
        <v>2021</v>
      </c>
      <c r="K196" s="128">
        <f>(1+target)^($J196-(MIN(tbl_rep_mon[year])))</f>
        <v>1</v>
      </c>
      <c r="L196" s="35">
        <f t="shared" si="26"/>
        <v>0.33</v>
      </c>
      <c r="M196" s="37">
        <f t="shared" si="27"/>
        <v>8189.1331500000006</v>
      </c>
    </row>
    <row r="197" spans="1:13" x14ac:dyDescent="0.4">
      <c r="A197" t="s">
        <v>22</v>
      </c>
      <c r="B197">
        <v>4</v>
      </c>
      <c r="C197" s="36">
        <v>61114.1</v>
      </c>
      <c r="D197" s="1">
        <v>44470</v>
      </c>
      <c r="E197" s="35">
        <f t="shared" si="21"/>
        <v>0.42</v>
      </c>
      <c r="F197" s="37">
        <f t="shared" si="22"/>
        <v>30557.05</v>
      </c>
      <c r="G197" s="37">
        <f t="shared" si="23"/>
        <v>12833.960999999999</v>
      </c>
      <c r="H197" s="36" cm="1">
        <f t="array" ref="H197">SUMPRODUCT((C197&gt;tier_floor)*((C197-tier_floor)*step)*margin_rate)</f>
        <v>9583.9609999999993</v>
      </c>
      <c r="I197" s="37">
        <f t="shared" si="24"/>
        <v>3250</v>
      </c>
      <c r="J197" s="38">
        <f t="shared" si="25"/>
        <v>2021</v>
      </c>
      <c r="K197" s="128">
        <f>(1+target)^($J197-(MIN(tbl_rep_mon[year])))</f>
        <v>1</v>
      </c>
      <c r="L197" s="35">
        <f t="shared" si="26"/>
        <v>0.42</v>
      </c>
      <c r="M197" s="37">
        <f t="shared" si="27"/>
        <v>12833.960999999999</v>
      </c>
    </row>
    <row r="198" spans="1:13" x14ac:dyDescent="0.4">
      <c r="A198" t="s">
        <v>23</v>
      </c>
      <c r="B198">
        <v>1</v>
      </c>
      <c r="C198" s="36">
        <v>84677.07</v>
      </c>
      <c r="D198" s="1">
        <v>44470</v>
      </c>
      <c r="E198" s="35">
        <f t="shared" si="21"/>
        <v>0.51</v>
      </c>
      <c r="F198" s="37">
        <f t="shared" si="22"/>
        <v>42338.535000000003</v>
      </c>
      <c r="G198" s="37">
        <f t="shared" si="23"/>
        <v>21592.652850000002</v>
      </c>
      <c r="H198" s="36" cm="1">
        <f t="array" ref="H198">SUMPRODUCT((C198&gt;tier_floor)*((C198-tier_floor)*step)*margin_rate)</f>
        <v>14967.652850000002</v>
      </c>
      <c r="I198" s="37">
        <f t="shared" si="24"/>
        <v>6625</v>
      </c>
      <c r="J198" s="38">
        <f t="shared" si="25"/>
        <v>2021</v>
      </c>
      <c r="K198" s="128">
        <f>(1+target)^($J198-(MIN(tbl_rep_mon[year])))</f>
        <v>1</v>
      </c>
      <c r="L198" s="35">
        <f t="shared" si="26"/>
        <v>0.51</v>
      </c>
      <c r="M198" s="37">
        <f t="shared" si="27"/>
        <v>21592.652850000002</v>
      </c>
    </row>
    <row r="199" spans="1:13" x14ac:dyDescent="0.4">
      <c r="A199" t="s">
        <v>24</v>
      </c>
      <c r="B199">
        <v>3</v>
      </c>
      <c r="C199" s="36">
        <v>44691.34</v>
      </c>
      <c r="D199" s="1">
        <v>44470</v>
      </c>
      <c r="E199" s="35">
        <f t="shared" si="21"/>
        <v>0.33</v>
      </c>
      <c r="F199" s="37">
        <f t="shared" si="22"/>
        <v>22345.67</v>
      </c>
      <c r="G199" s="37">
        <f t="shared" si="23"/>
        <v>7374.0711000000001</v>
      </c>
      <c r="H199" s="36" cm="1">
        <f t="array" ref="H199">SUMPRODUCT((C199&gt;tier_floor)*((C199-tier_floor)*step)*margin_rate)</f>
        <v>6374.0710999999992</v>
      </c>
      <c r="I199" s="37">
        <f t="shared" si="24"/>
        <v>1000.0000000000009</v>
      </c>
      <c r="J199" s="38">
        <f t="shared" si="25"/>
        <v>2021</v>
      </c>
      <c r="K199" s="128">
        <f>(1+target)^($J199-(MIN(tbl_rep_mon[year])))</f>
        <v>1</v>
      </c>
      <c r="L199" s="35">
        <f t="shared" si="26"/>
        <v>0.33</v>
      </c>
      <c r="M199" s="37">
        <f t="shared" si="27"/>
        <v>7374.0711000000001</v>
      </c>
    </row>
    <row r="200" spans="1:13" x14ac:dyDescent="0.4">
      <c r="A200" t="s">
        <v>25</v>
      </c>
      <c r="B200">
        <v>2</v>
      </c>
      <c r="C200" s="36">
        <v>50399.81</v>
      </c>
      <c r="D200" s="1">
        <v>44470</v>
      </c>
      <c r="E200" s="35">
        <f t="shared" si="21"/>
        <v>0.42</v>
      </c>
      <c r="F200" s="37">
        <f t="shared" si="22"/>
        <v>25199.904999999999</v>
      </c>
      <c r="G200" s="37">
        <f t="shared" si="23"/>
        <v>10583.960099999998</v>
      </c>
      <c r="H200" s="36" cm="1">
        <f t="array" ref="H200">SUMPRODUCT((C200&gt;tier_floor)*((C200-tier_floor)*step)*margin_rate)</f>
        <v>7333.9600999999993</v>
      </c>
      <c r="I200" s="37">
        <f t="shared" si="24"/>
        <v>3249.9999999999991</v>
      </c>
      <c r="J200" s="38">
        <f t="shared" si="25"/>
        <v>2021</v>
      </c>
      <c r="K200" s="128">
        <f>(1+target)^($J200-(MIN(tbl_rep_mon[year])))</f>
        <v>1</v>
      </c>
      <c r="L200" s="35">
        <f t="shared" si="26"/>
        <v>0.42</v>
      </c>
      <c r="M200" s="37">
        <f t="shared" si="27"/>
        <v>10583.960099999998</v>
      </c>
    </row>
    <row r="201" spans="1:13" x14ac:dyDescent="0.4">
      <c r="A201" t="s">
        <v>26</v>
      </c>
      <c r="B201">
        <v>2</v>
      </c>
      <c r="C201" s="36">
        <v>45365.74</v>
      </c>
      <c r="D201" s="1">
        <v>44470</v>
      </c>
      <c r="E201" s="35">
        <f t="shared" si="21"/>
        <v>0.33</v>
      </c>
      <c r="F201" s="37">
        <f t="shared" si="22"/>
        <v>22682.87</v>
      </c>
      <c r="G201" s="37">
        <f t="shared" si="23"/>
        <v>7485.3471</v>
      </c>
      <c r="H201" s="36" cm="1">
        <f t="array" ref="H201">SUMPRODUCT((C201&gt;tier_floor)*((C201-tier_floor)*step)*margin_rate)</f>
        <v>6485.3471</v>
      </c>
      <c r="I201" s="37">
        <f t="shared" si="24"/>
        <v>1000</v>
      </c>
      <c r="J201" s="38">
        <f t="shared" si="25"/>
        <v>2021</v>
      </c>
      <c r="K201" s="128">
        <f>(1+target)^($J201-(MIN(tbl_rep_mon[year])))</f>
        <v>1</v>
      </c>
      <c r="L201" s="35">
        <f t="shared" si="26"/>
        <v>0.33</v>
      </c>
      <c r="M201" s="37">
        <f t="shared" si="27"/>
        <v>7485.3471</v>
      </c>
    </row>
    <row r="202" spans="1:13" x14ac:dyDescent="0.4">
      <c r="A202" t="s">
        <v>27</v>
      </c>
      <c r="B202">
        <v>4</v>
      </c>
      <c r="C202" s="36">
        <v>15210.77</v>
      </c>
      <c r="D202" s="1">
        <v>44470</v>
      </c>
      <c r="E202" s="35">
        <f t="shared" si="21"/>
        <v>0.25</v>
      </c>
      <c r="F202" s="37">
        <f t="shared" si="22"/>
        <v>7605.3850000000002</v>
      </c>
      <c r="G202" s="37">
        <f t="shared" si="23"/>
        <v>1901.3462500000001</v>
      </c>
      <c r="H202" s="36" cm="1">
        <f t="array" ref="H202">SUMPRODUCT((C202&gt;tier_floor)*((C202-tier_floor)*step)*margin_rate)</f>
        <v>1901.3462500000001</v>
      </c>
      <c r="I202" s="37">
        <f t="shared" si="24"/>
        <v>0</v>
      </c>
      <c r="J202" s="38">
        <f t="shared" si="25"/>
        <v>2021</v>
      </c>
      <c r="K202" s="128">
        <f>(1+target)^($J202-(MIN(tbl_rep_mon[year])))</f>
        <v>1</v>
      </c>
      <c r="L202" s="35">
        <f t="shared" si="26"/>
        <v>0.25</v>
      </c>
      <c r="M202" s="37">
        <f t="shared" si="27"/>
        <v>1901.3462500000001</v>
      </c>
    </row>
    <row r="203" spans="1:13" x14ac:dyDescent="0.4">
      <c r="A203" t="s">
        <v>4</v>
      </c>
      <c r="B203">
        <v>4</v>
      </c>
      <c r="C203" s="36">
        <v>49422.11</v>
      </c>
      <c r="D203" s="1">
        <v>44501</v>
      </c>
      <c r="E203" s="35">
        <f t="shared" si="21"/>
        <v>0.33</v>
      </c>
      <c r="F203" s="37">
        <f t="shared" si="22"/>
        <v>24711.055</v>
      </c>
      <c r="G203" s="37">
        <f t="shared" si="23"/>
        <v>8154.6481500000009</v>
      </c>
      <c r="H203" s="36" cm="1">
        <f t="array" ref="H203">SUMPRODUCT((C203&gt;tier_floor)*((C203-tier_floor)*step)*margin_rate)</f>
        <v>7154.64815</v>
      </c>
      <c r="I203" s="37">
        <f t="shared" si="24"/>
        <v>1000.0000000000009</v>
      </c>
      <c r="J203" s="38">
        <f t="shared" si="25"/>
        <v>2021</v>
      </c>
      <c r="K203" s="128">
        <f>(1+target)^($J203-(MIN(tbl_rep_mon[year])))</f>
        <v>1</v>
      </c>
      <c r="L203" s="35">
        <f t="shared" si="26"/>
        <v>0.33</v>
      </c>
      <c r="M203" s="37">
        <f t="shared" si="27"/>
        <v>8154.6481500000009</v>
      </c>
    </row>
    <row r="204" spans="1:13" x14ac:dyDescent="0.4">
      <c r="A204" t="s">
        <v>6</v>
      </c>
      <c r="B204">
        <v>2</v>
      </c>
      <c r="C204" s="36">
        <v>42118.239999999998</v>
      </c>
      <c r="D204" s="1">
        <v>44501</v>
      </c>
      <c r="E204" s="35">
        <f t="shared" si="21"/>
        <v>0.33</v>
      </c>
      <c r="F204" s="37">
        <f t="shared" si="22"/>
        <v>21059.119999999999</v>
      </c>
      <c r="G204" s="37">
        <f t="shared" si="23"/>
        <v>6949.5096000000003</v>
      </c>
      <c r="H204" s="36" cm="1">
        <f t="array" ref="H204">SUMPRODUCT((C204&gt;tier_floor)*((C204-tier_floor)*step)*margin_rate)</f>
        <v>5949.5095999999994</v>
      </c>
      <c r="I204" s="37">
        <f t="shared" si="24"/>
        <v>1000.0000000000009</v>
      </c>
      <c r="J204" s="38">
        <f t="shared" si="25"/>
        <v>2021</v>
      </c>
      <c r="K204" s="128">
        <f>(1+target)^($J204-(MIN(tbl_rep_mon[year])))</f>
        <v>1</v>
      </c>
      <c r="L204" s="35">
        <f t="shared" si="26"/>
        <v>0.33</v>
      </c>
      <c r="M204" s="37">
        <f t="shared" si="27"/>
        <v>6949.5096000000003</v>
      </c>
    </row>
    <row r="205" spans="1:13" x14ac:dyDescent="0.4">
      <c r="A205" t="s">
        <v>7</v>
      </c>
      <c r="B205">
        <v>4</v>
      </c>
      <c r="C205" s="36">
        <v>36418.870000000003</v>
      </c>
      <c r="D205" s="1">
        <v>44501</v>
      </c>
      <c r="E205" s="35">
        <f t="shared" si="21"/>
        <v>0.33</v>
      </c>
      <c r="F205" s="37">
        <f t="shared" si="22"/>
        <v>18209.435000000001</v>
      </c>
      <c r="G205" s="37">
        <f t="shared" si="23"/>
        <v>6009.1135500000009</v>
      </c>
      <c r="H205" s="36" cm="1">
        <f t="array" ref="H205">SUMPRODUCT((C205&gt;tier_floor)*((C205-tier_floor)*step)*margin_rate)</f>
        <v>5009.1135500000009</v>
      </c>
      <c r="I205" s="37">
        <f t="shared" si="24"/>
        <v>1000</v>
      </c>
      <c r="J205" s="38">
        <f t="shared" si="25"/>
        <v>2021</v>
      </c>
      <c r="K205" s="128">
        <f>(1+target)^($J205-(MIN(tbl_rep_mon[year])))</f>
        <v>1</v>
      </c>
      <c r="L205" s="35">
        <f t="shared" si="26"/>
        <v>0.33</v>
      </c>
      <c r="M205" s="37">
        <f t="shared" si="27"/>
        <v>6009.1135500000009</v>
      </c>
    </row>
    <row r="206" spans="1:13" x14ac:dyDescent="0.4">
      <c r="A206" t="s">
        <v>8</v>
      </c>
      <c r="B206">
        <v>4</v>
      </c>
      <c r="C206" s="36">
        <v>50101.65</v>
      </c>
      <c r="D206" s="1">
        <v>44501</v>
      </c>
      <c r="E206" s="35">
        <f t="shared" si="21"/>
        <v>0.42</v>
      </c>
      <c r="F206" s="37">
        <f t="shared" si="22"/>
        <v>25050.825000000001</v>
      </c>
      <c r="G206" s="37">
        <f t="shared" si="23"/>
        <v>10521.3465</v>
      </c>
      <c r="H206" s="36" cm="1">
        <f t="array" ref="H206">SUMPRODUCT((C206&gt;tier_floor)*((C206-tier_floor)*step)*margin_rate)</f>
        <v>7271.3464999999997</v>
      </c>
      <c r="I206" s="37">
        <f t="shared" si="24"/>
        <v>3250</v>
      </c>
      <c r="J206" s="38">
        <f t="shared" si="25"/>
        <v>2021</v>
      </c>
      <c r="K206" s="128">
        <f>(1+target)^($J206-(MIN(tbl_rep_mon[year])))</f>
        <v>1</v>
      </c>
      <c r="L206" s="35">
        <f t="shared" si="26"/>
        <v>0.42</v>
      </c>
      <c r="M206" s="37">
        <f t="shared" si="27"/>
        <v>10521.3465</v>
      </c>
    </row>
    <row r="207" spans="1:13" x14ac:dyDescent="0.4">
      <c r="A207" t="s">
        <v>10</v>
      </c>
      <c r="B207">
        <v>3</v>
      </c>
      <c r="C207" s="36">
        <v>63510.69</v>
      </c>
      <c r="D207" s="1">
        <v>44501</v>
      </c>
      <c r="E207" s="35">
        <f t="shared" si="21"/>
        <v>0.42</v>
      </c>
      <c r="F207" s="37">
        <f t="shared" si="22"/>
        <v>31755.345000000001</v>
      </c>
      <c r="G207" s="37">
        <f t="shared" si="23"/>
        <v>13337.2449</v>
      </c>
      <c r="H207" s="36" cm="1">
        <f t="array" ref="H207">SUMPRODUCT((C207&gt;tier_floor)*((C207-tier_floor)*step)*margin_rate)</f>
        <v>10087.244900000002</v>
      </c>
      <c r="I207" s="37">
        <f t="shared" si="24"/>
        <v>3249.9999999999982</v>
      </c>
      <c r="J207" s="38">
        <f t="shared" si="25"/>
        <v>2021</v>
      </c>
      <c r="K207" s="128">
        <f>(1+target)^($J207-(MIN(tbl_rep_mon[year])))</f>
        <v>1</v>
      </c>
      <c r="L207" s="35">
        <f t="shared" si="26"/>
        <v>0.42</v>
      </c>
      <c r="M207" s="37">
        <f t="shared" si="27"/>
        <v>13337.2449</v>
      </c>
    </row>
    <row r="208" spans="1:13" x14ac:dyDescent="0.4">
      <c r="A208" t="s">
        <v>11</v>
      </c>
      <c r="B208">
        <v>1</v>
      </c>
      <c r="C208" s="36">
        <v>47311.95</v>
      </c>
      <c r="D208" s="1">
        <v>44501</v>
      </c>
      <c r="E208" s="35">
        <f t="shared" si="21"/>
        <v>0.33</v>
      </c>
      <c r="F208" s="37">
        <f t="shared" si="22"/>
        <v>23655.974999999999</v>
      </c>
      <c r="G208" s="37">
        <f t="shared" si="23"/>
        <v>7806.4717499999997</v>
      </c>
      <c r="H208" s="36" cm="1">
        <f t="array" ref="H208">SUMPRODUCT((C208&gt;tier_floor)*((C208-tier_floor)*step)*margin_rate)</f>
        <v>6806.4717499999997</v>
      </c>
      <c r="I208" s="37">
        <f t="shared" si="24"/>
        <v>1000</v>
      </c>
      <c r="J208" s="38">
        <f t="shared" si="25"/>
        <v>2021</v>
      </c>
      <c r="K208" s="128">
        <f>(1+target)^($J208-(MIN(tbl_rep_mon[year])))</f>
        <v>1</v>
      </c>
      <c r="L208" s="35">
        <f t="shared" si="26"/>
        <v>0.33</v>
      </c>
      <c r="M208" s="37">
        <f t="shared" si="27"/>
        <v>7806.4717499999997</v>
      </c>
    </row>
    <row r="209" spans="1:13" x14ac:dyDescent="0.4">
      <c r="A209" t="s">
        <v>12</v>
      </c>
      <c r="B209">
        <v>2</v>
      </c>
      <c r="C209" s="36">
        <v>59246.76</v>
      </c>
      <c r="D209" s="1">
        <v>44501</v>
      </c>
      <c r="E209" s="35">
        <f t="shared" si="21"/>
        <v>0.42</v>
      </c>
      <c r="F209" s="37">
        <f t="shared" si="22"/>
        <v>29623.38</v>
      </c>
      <c r="G209" s="37">
        <f t="shared" si="23"/>
        <v>12441.819600000001</v>
      </c>
      <c r="H209" s="36" cm="1">
        <f t="array" ref="H209">SUMPRODUCT((C209&gt;tier_floor)*((C209-tier_floor)*step)*margin_rate)</f>
        <v>9191.8196000000007</v>
      </c>
      <c r="I209" s="37">
        <f t="shared" si="24"/>
        <v>3250</v>
      </c>
      <c r="J209" s="38">
        <f t="shared" si="25"/>
        <v>2021</v>
      </c>
      <c r="K209" s="128">
        <f>(1+target)^($J209-(MIN(tbl_rep_mon[year])))</f>
        <v>1</v>
      </c>
      <c r="L209" s="35">
        <f t="shared" si="26"/>
        <v>0.42</v>
      </c>
      <c r="M209" s="37">
        <f t="shared" si="27"/>
        <v>12441.819600000001</v>
      </c>
    </row>
    <row r="210" spans="1:13" x14ac:dyDescent="0.4">
      <c r="A210" t="s">
        <v>15</v>
      </c>
      <c r="B210">
        <v>3</v>
      </c>
      <c r="C210" s="36">
        <v>58950.06</v>
      </c>
      <c r="D210" s="1">
        <v>44501</v>
      </c>
      <c r="E210" s="35">
        <f t="shared" si="21"/>
        <v>0.42</v>
      </c>
      <c r="F210" s="37">
        <f t="shared" si="22"/>
        <v>29475.03</v>
      </c>
      <c r="G210" s="37">
        <f t="shared" si="23"/>
        <v>12379.512599999998</v>
      </c>
      <c r="H210" s="36" cm="1">
        <f t="array" ref="H210">SUMPRODUCT((C210&gt;tier_floor)*((C210-tier_floor)*step)*margin_rate)</f>
        <v>9129.5125999999982</v>
      </c>
      <c r="I210" s="37">
        <f t="shared" si="24"/>
        <v>3250</v>
      </c>
      <c r="J210" s="38">
        <f t="shared" si="25"/>
        <v>2021</v>
      </c>
      <c r="K210" s="128">
        <f>(1+target)^($J210-(MIN(tbl_rep_mon[year])))</f>
        <v>1</v>
      </c>
      <c r="L210" s="35">
        <f t="shared" si="26"/>
        <v>0.42</v>
      </c>
      <c r="M210" s="37">
        <f t="shared" si="27"/>
        <v>12379.512599999998</v>
      </c>
    </row>
    <row r="211" spans="1:13" x14ac:dyDescent="0.4">
      <c r="A211" t="s">
        <v>16</v>
      </c>
      <c r="B211">
        <v>3</v>
      </c>
      <c r="C211" s="36">
        <v>47945.35</v>
      </c>
      <c r="D211" s="1">
        <v>44501</v>
      </c>
      <c r="E211" s="35">
        <f t="shared" si="21"/>
        <v>0.33</v>
      </c>
      <c r="F211" s="37">
        <f t="shared" si="22"/>
        <v>23972.674999999999</v>
      </c>
      <c r="G211" s="37">
        <f t="shared" si="23"/>
        <v>7910.9827500000001</v>
      </c>
      <c r="H211" s="36" cm="1">
        <f t="array" ref="H211">SUMPRODUCT((C211&gt;tier_floor)*((C211-tier_floor)*step)*margin_rate)</f>
        <v>6910.9827500000001</v>
      </c>
      <c r="I211" s="37">
        <f t="shared" si="24"/>
        <v>1000</v>
      </c>
      <c r="J211" s="38">
        <f t="shared" si="25"/>
        <v>2021</v>
      </c>
      <c r="K211" s="128">
        <f>(1+target)^($J211-(MIN(tbl_rep_mon[year])))</f>
        <v>1</v>
      </c>
      <c r="L211" s="35">
        <f t="shared" si="26"/>
        <v>0.33</v>
      </c>
      <c r="M211" s="37">
        <f t="shared" si="27"/>
        <v>7910.9827500000001</v>
      </c>
    </row>
    <row r="212" spans="1:13" x14ac:dyDescent="0.4">
      <c r="A212" t="s">
        <v>18</v>
      </c>
      <c r="B212">
        <v>3</v>
      </c>
      <c r="C212" s="36">
        <v>54884.38</v>
      </c>
      <c r="D212" s="1">
        <v>44501</v>
      </c>
      <c r="E212" s="35">
        <f t="shared" si="21"/>
        <v>0.42</v>
      </c>
      <c r="F212" s="37">
        <f t="shared" si="22"/>
        <v>27442.19</v>
      </c>
      <c r="G212" s="37">
        <f t="shared" si="23"/>
        <v>11525.719799999999</v>
      </c>
      <c r="H212" s="36" cm="1">
        <f t="array" ref="H212">SUMPRODUCT((C212&gt;tier_floor)*((C212-tier_floor)*step)*margin_rate)</f>
        <v>8275.7198000000008</v>
      </c>
      <c r="I212" s="37">
        <f t="shared" si="24"/>
        <v>3249.9999999999982</v>
      </c>
      <c r="J212" s="38">
        <f t="shared" si="25"/>
        <v>2021</v>
      </c>
      <c r="K212" s="128">
        <f>(1+target)^($J212-(MIN(tbl_rep_mon[year])))</f>
        <v>1</v>
      </c>
      <c r="L212" s="35">
        <f t="shared" si="26"/>
        <v>0.42</v>
      </c>
      <c r="M212" s="37">
        <f t="shared" si="27"/>
        <v>11525.719799999999</v>
      </c>
    </row>
    <row r="213" spans="1:13" x14ac:dyDescent="0.4">
      <c r="A213" t="s">
        <v>19</v>
      </c>
      <c r="B213">
        <v>4</v>
      </c>
      <c r="C213" s="36">
        <v>43955.95</v>
      </c>
      <c r="D213" s="1">
        <v>44501</v>
      </c>
      <c r="E213" s="35">
        <f t="shared" si="21"/>
        <v>0.33</v>
      </c>
      <c r="F213" s="37">
        <f t="shared" si="22"/>
        <v>21977.974999999999</v>
      </c>
      <c r="G213" s="37">
        <f t="shared" si="23"/>
        <v>7252.7317499999999</v>
      </c>
      <c r="H213" s="36" cm="1">
        <f t="array" ref="H213">SUMPRODUCT((C213&gt;tier_floor)*((C213-tier_floor)*step)*margin_rate)</f>
        <v>6252.7317499999999</v>
      </c>
      <c r="I213" s="37">
        <f t="shared" si="24"/>
        <v>1000</v>
      </c>
      <c r="J213" s="38">
        <f t="shared" si="25"/>
        <v>2021</v>
      </c>
      <c r="K213" s="128">
        <f>(1+target)^($J213-(MIN(tbl_rep_mon[year])))</f>
        <v>1</v>
      </c>
      <c r="L213" s="35">
        <f t="shared" si="26"/>
        <v>0.33</v>
      </c>
      <c r="M213" s="37">
        <f t="shared" si="27"/>
        <v>7252.7317499999999</v>
      </c>
    </row>
    <row r="214" spans="1:13" x14ac:dyDescent="0.4">
      <c r="A214" t="s">
        <v>20</v>
      </c>
      <c r="B214">
        <v>4</v>
      </c>
      <c r="C214" s="36">
        <v>44569.26</v>
      </c>
      <c r="D214" s="1">
        <v>44501</v>
      </c>
      <c r="E214" s="35">
        <f t="shared" si="21"/>
        <v>0.33</v>
      </c>
      <c r="F214" s="37">
        <f t="shared" si="22"/>
        <v>22284.63</v>
      </c>
      <c r="G214" s="37">
        <f t="shared" si="23"/>
        <v>7353.9279000000006</v>
      </c>
      <c r="H214" s="36" cm="1">
        <f t="array" ref="H214">SUMPRODUCT((C214&gt;tier_floor)*((C214-tier_floor)*step)*margin_rate)</f>
        <v>6353.9279000000006</v>
      </c>
      <c r="I214" s="37">
        <f t="shared" si="24"/>
        <v>1000</v>
      </c>
      <c r="J214" s="38">
        <f t="shared" si="25"/>
        <v>2021</v>
      </c>
      <c r="K214" s="128">
        <f>(1+target)^($J214-(MIN(tbl_rep_mon[year])))</f>
        <v>1</v>
      </c>
      <c r="L214" s="35">
        <f t="shared" si="26"/>
        <v>0.33</v>
      </c>
      <c r="M214" s="37">
        <f t="shared" si="27"/>
        <v>7353.9279000000006</v>
      </c>
    </row>
    <row r="215" spans="1:13" x14ac:dyDescent="0.4">
      <c r="A215" t="s">
        <v>21</v>
      </c>
      <c r="B215">
        <v>4</v>
      </c>
      <c r="C215" s="36">
        <v>51754.9</v>
      </c>
      <c r="D215" s="1">
        <v>44501</v>
      </c>
      <c r="E215" s="35">
        <f t="shared" si="21"/>
        <v>0.42</v>
      </c>
      <c r="F215" s="37">
        <f t="shared" si="22"/>
        <v>25877.45</v>
      </c>
      <c r="G215" s="37">
        <f t="shared" si="23"/>
        <v>10868.529</v>
      </c>
      <c r="H215" s="36" cm="1">
        <f t="array" ref="H215">SUMPRODUCT((C215&gt;tier_floor)*((C215-tier_floor)*step)*margin_rate)</f>
        <v>7618.5290000000014</v>
      </c>
      <c r="I215" s="37">
        <f t="shared" si="24"/>
        <v>3249.9999999999991</v>
      </c>
      <c r="J215" s="38">
        <f t="shared" si="25"/>
        <v>2021</v>
      </c>
      <c r="K215" s="128">
        <f>(1+target)^($J215-(MIN(tbl_rep_mon[year])))</f>
        <v>1</v>
      </c>
      <c r="L215" s="35">
        <f t="shared" si="26"/>
        <v>0.42</v>
      </c>
      <c r="M215" s="37">
        <f t="shared" si="27"/>
        <v>10868.529</v>
      </c>
    </row>
    <row r="216" spans="1:13" x14ac:dyDescent="0.4">
      <c r="A216" t="s">
        <v>22</v>
      </c>
      <c r="B216">
        <v>4</v>
      </c>
      <c r="C216" s="36">
        <v>47492.34</v>
      </c>
      <c r="D216" s="1">
        <v>44501</v>
      </c>
      <c r="E216" s="35">
        <f t="shared" si="21"/>
        <v>0.33</v>
      </c>
      <c r="F216" s="37">
        <f t="shared" si="22"/>
        <v>23746.17</v>
      </c>
      <c r="G216" s="37">
        <f t="shared" si="23"/>
        <v>7836.2361000000001</v>
      </c>
      <c r="H216" s="36" cm="1">
        <f t="array" ref="H216">SUMPRODUCT((C216&gt;tier_floor)*((C216-tier_floor)*step)*margin_rate)</f>
        <v>6836.2361000000001</v>
      </c>
      <c r="I216" s="37">
        <f t="shared" si="24"/>
        <v>1000</v>
      </c>
      <c r="J216" s="38">
        <f t="shared" si="25"/>
        <v>2021</v>
      </c>
      <c r="K216" s="128">
        <f>(1+target)^($J216-(MIN(tbl_rep_mon[year])))</f>
        <v>1</v>
      </c>
      <c r="L216" s="35">
        <f t="shared" si="26"/>
        <v>0.33</v>
      </c>
      <c r="M216" s="37">
        <f t="shared" si="27"/>
        <v>7836.2361000000001</v>
      </c>
    </row>
    <row r="217" spans="1:13" x14ac:dyDescent="0.4">
      <c r="A217" t="s">
        <v>23</v>
      </c>
      <c r="B217">
        <v>1</v>
      </c>
      <c r="C217" s="36">
        <v>72479.05</v>
      </c>
      <c r="D217" s="1">
        <v>44501</v>
      </c>
      <c r="E217" s="35">
        <f t="shared" si="21"/>
        <v>0.42</v>
      </c>
      <c r="F217" s="37">
        <f t="shared" si="22"/>
        <v>36239.525000000001</v>
      </c>
      <c r="G217" s="37">
        <f t="shared" si="23"/>
        <v>15220.6005</v>
      </c>
      <c r="H217" s="36" cm="1">
        <f t="array" ref="H217">SUMPRODUCT((C217&gt;tier_floor)*((C217-tier_floor)*step)*margin_rate)</f>
        <v>11970.6005</v>
      </c>
      <c r="I217" s="37">
        <f t="shared" si="24"/>
        <v>3250</v>
      </c>
      <c r="J217" s="38">
        <f t="shared" si="25"/>
        <v>2021</v>
      </c>
      <c r="K217" s="128">
        <f>(1+target)^($J217-(MIN(tbl_rep_mon[year])))</f>
        <v>1</v>
      </c>
      <c r="L217" s="35">
        <f t="shared" si="26"/>
        <v>0.42</v>
      </c>
      <c r="M217" s="37">
        <f t="shared" si="27"/>
        <v>15220.6005</v>
      </c>
    </row>
    <row r="218" spans="1:13" x14ac:dyDescent="0.4">
      <c r="A218" t="s">
        <v>24</v>
      </c>
      <c r="B218">
        <v>3</v>
      </c>
      <c r="C218" s="36">
        <v>51717.39</v>
      </c>
      <c r="D218" s="1">
        <v>44501</v>
      </c>
      <c r="E218" s="35">
        <f t="shared" si="21"/>
        <v>0.42</v>
      </c>
      <c r="F218" s="37">
        <f t="shared" si="22"/>
        <v>25858.695</v>
      </c>
      <c r="G218" s="37">
        <f t="shared" si="23"/>
        <v>10860.651899999999</v>
      </c>
      <c r="H218" s="36" cm="1">
        <f t="array" ref="H218">SUMPRODUCT((C218&gt;tier_floor)*((C218-tier_floor)*step)*margin_rate)</f>
        <v>7610.6518999999998</v>
      </c>
      <c r="I218" s="37">
        <f t="shared" si="24"/>
        <v>3249.9999999999991</v>
      </c>
      <c r="J218" s="38">
        <f t="shared" si="25"/>
        <v>2021</v>
      </c>
      <c r="K218" s="128">
        <f>(1+target)^($J218-(MIN(tbl_rep_mon[year])))</f>
        <v>1</v>
      </c>
      <c r="L218" s="35">
        <f t="shared" si="26"/>
        <v>0.42</v>
      </c>
      <c r="M218" s="37">
        <f t="shared" si="27"/>
        <v>10860.651899999999</v>
      </c>
    </row>
    <row r="219" spans="1:13" x14ac:dyDescent="0.4">
      <c r="A219" t="s">
        <v>25</v>
      </c>
      <c r="B219">
        <v>2</v>
      </c>
      <c r="C219" s="36">
        <v>63218.98</v>
      </c>
      <c r="D219" s="1">
        <v>44501</v>
      </c>
      <c r="E219" s="35">
        <f t="shared" si="21"/>
        <v>0.42</v>
      </c>
      <c r="F219" s="37">
        <f t="shared" si="22"/>
        <v>31609.49</v>
      </c>
      <c r="G219" s="37">
        <f t="shared" si="23"/>
        <v>13275.9858</v>
      </c>
      <c r="H219" s="36" cm="1">
        <f t="array" ref="H219">SUMPRODUCT((C219&gt;tier_floor)*((C219-tier_floor)*step)*margin_rate)</f>
        <v>10025.985800000002</v>
      </c>
      <c r="I219" s="37">
        <f t="shared" si="24"/>
        <v>3249.9999999999982</v>
      </c>
      <c r="J219" s="38">
        <f t="shared" si="25"/>
        <v>2021</v>
      </c>
      <c r="K219" s="128">
        <f>(1+target)^($J219-(MIN(tbl_rep_mon[year])))</f>
        <v>1</v>
      </c>
      <c r="L219" s="35">
        <f t="shared" si="26"/>
        <v>0.42</v>
      </c>
      <c r="M219" s="37">
        <f t="shared" si="27"/>
        <v>13275.9858</v>
      </c>
    </row>
    <row r="220" spans="1:13" x14ac:dyDescent="0.4">
      <c r="A220" t="s">
        <v>26</v>
      </c>
      <c r="B220">
        <v>2</v>
      </c>
      <c r="C220" s="36">
        <v>44478.95</v>
      </c>
      <c r="D220" s="1">
        <v>44501</v>
      </c>
      <c r="E220" s="35">
        <f t="shared" si="21"/>
        <v>0.33</v>
      </c>
      <c r="F220" s="37">
        <f t="shared" si="22"/>
        <v>22239.474999999999</v>
      </c>
      <c r="G220" s="37">
        <f t="shared" si="23"/>
        <v>7339.02675</v>
      </c>
      <c r="H220" s="36" cm="1">
        <f t="array" ref="H220">SUMPRODUCT((C220&gt;tier_floor)*((C220-tier_floor)*step)*margin_rate)</f>
        <v>6339.02675</v>
      </c>
      <c r="I220" s="37">
        <f t="shared" si="24"/>
        <v>1000</v>
      </c>
      <c r="J220" s="38">
        <f t="shared" si="25"/>
        <v>2021</v>
      </c>
      <c r="K220" s="128">
        <f>(1+target)^($J220-(MIN(tbl_rep_mon[year])))</f>
        <v>1</v>
      </c>
      <c r="L220" s="35">
        <f t="shared" si="26"/>
        <v>0.33</v>
      </c>
      <c r="M220" s="37">
        <f t="shared" si="27"/>
        <v>7339.02675</v>
      </c>
    </row>
    <row r="221" spans="1:13" x14ac:dyDescent="0.4">
      <c r="A221" t="s">
        <v>27</v>
      </c>
      <c r="B221">
        <v>4</v>
      </c>
      <c r="C221" s="36">
        <v>45379.63</v>
      </c>
      <c r="D221" s="1">
        <v>44501</v>
      </c>
      <c r="E221" s="35">
        <f t="shared" si="21"/>
        <v>0.33</v>
      </c>
      <c r="F221" s="37">
        <f t="shared" si="22"/>
        <v>22689.814999999999</v>
      </c>
      <c r="G221" s="37">
        <f t="shared" si="23"/>
        <v>7487.6389499999996</v>
      </c>
      <c r="H221" s="36" cm="1">
        <f t="array" ref="H221">SUMPRODUCT((C221&gt;tier_floor)*((C221-tier_floor)*step)*margin_rate)</f>
        <v>6487.6389499999996</v>
      </c>
      <c r="I221" s="37">
        <f t="shared" si="24"/>
        <v>1000</v>
      </c>
      <c r="J221" s="38">
        <f t="shared" si="25"/>
        <v>2021</v>
      </c>
      <c r="K221" s="128">
        <f>(1+target)^($J221-(MIN(tbl_rep_mon[year])))</f>
        <v>1</v>
      </c>
      <c r="L221" s="35">
        <f t="shared" si="26"/>
        <v>0.33</v>
      </c>
      <c r="M221" s="37">
        <f t="shared" si="27"/>
        <v>7487.6389499999996</v>
      </c>
    </row>
    <row r="222" spans="1:13" x14ac:dyDescent="0.4">
      <c r="A222" t="s">
        <v>4</v>
      </c>
      <c r="B222">
        <v>4</v>
      </c>
      <c r="C222" s="36">
        <v>44506.46</v>
      </c>
      <c r="D222" s="1">
        <v>44531</v>
      </c>
      <c r="E222" s="35">
        <f t="shared" si="21"/>
        <v>0.33</v>
      </c>
      <c r="F222" s="37">
        <f t="shared" si="22"/>
        <v>22253.23</v>
      </c>
      <c r="G222" s="37">
        <f t="shared" si="23"/>
        <v>7343.5659000000005</v>
      </c>
      <c r="H222" s="36" cm="1">
        <f t="array" ref="H222">SUMPRODUCT((C222&gt;tier_floor)*((C222-tier_floor)*step)*margin_rate)</f>
        <v>6343.5658999999996</v>
      </c>
      <c r="I222" s="37">
        <f t="shared" si="24"/>
        <v>1000.0000000000009</v>
      </c>
      <c r="J222" s="38">
        <f t="shared" si="25"/>
        <v>2021</v>
      </c>
      <c r="K222" s="128">
        <f>(1+target)^($J222-(MIN(tbl_rep_mon[year])))</f>
        <v>1</v>
      </c>
      <c r="L222" s="35">
        <f t="shared" si="26"/>
        <v>0.33</v>
      </c>
      <c r="M222" s="37">
        <f t="shared" si="27"/>
        <v>7343.5659000000005</v>
      </c>
    </row>
    <row r="223" spans="1:13" x14ac:dyDescent="0.4">
      <c r="A223" t="s">
        <v>6</v>
      </c>
      <c r="B223">
        <v>2</v>
      </c>
      <c r="C223" s="36">
        <v>37193.33</v>
      </c>
      <c r="D223" s="1">
        <v>44531</v>
      </c>
      <c r="E223" s="35">
        <f t="shared" si="21"/>
        <v>0.33</v>
      </c>
      <c r="F223" s="37">
        <f t="shared" si="22"/>
        <v>18596.665000000001</v>
      </c>
      <c r="G223" s="37">
        <f t="shared" si="23"/>
        <v>6136.8994500000008</v>
      </c>
      <c r="H223" s="36" cm="1">
        <f t="array" ref="H223">SUMPRODUCT((C223&gt;tier_floor)*((C223-tier_floor)*step)*margin_rate)</f>
        <v>5136.8994500000008</v>
      </c>
      <c r="I223" s="37">
        <f t="shared" si="24"/>
        <v>1000</v>
      </c>
      <c r="J223" s="38">
        <f t="shared" si="25"/>
        <v>2021</v>
      </c>
      <c r="K223" s="128">
        <f>(1+target)^($J223-(MIN(tbl_rep_mon[year])))</f>
        <v>1</v>
      </c>
      <c r="L223" s="35">
        <f t="shared" si="26"/>
        <v>0.33</v>
      </c>
      <c r="M223" s="37">
        <f t="shared" si="27"/>
        <v>6136.8994500000008</v>
      </c>
    </row>
    <row r="224" spans="1:13" x14ac:dyDescent="0.4">
      <c r="A224" t="s">
        <v>7</v>
      </c>
      <c r="B224">
        <v>4</v>
      </c>
      <c r="C224" s="36">
        <v>41008.019999999997</v>
      </c>
      <c r="D224" s="1">
        <v>44531</v>
      </c>
      <c r="E224" s="35">
        <f t="shared" si="21"/>
        <v>0.33</v>
      </c>
      <c r="F224" s="37">
        <f t="shared" si="22"/>
        <v>20504.009999999998</v>
      </c>
      <c r="G224" s="37">
        <f t="shared" si="23"/>
        <v>6766.3233</v>
      </c>
      <c r="H224" s="36" cm="1">
        <f t="array" ref="H224">SUMPRODUCT((C224&gt;tier_floor)*((C224-tier_floor)*step)*margin_rate)</f>
        <v>5766.3233</v>
      </c>
      <c r="I224" s="37">
        <f t="shared" si="24"/>
        <v>1000</v>
      </c>
      <c r="J224" s="38">
        <f t="shared" si="25"/>
        <v>2021</v>
      </c>
      <c r="K224" s="128">
        <f>(1+target)^($J224-(MIN(tbl_rep_mon[year])))</f>
        <v>1</v>
      </c>
      <c r="L224" s="35">
        <f t="shared" si="26"/>
        <v>0.33</v>
      </c>
      <c r="M224" s="37">
        <f t="shared" si="27"/>
        <v>6766.3233</v>
      </c>
    </row>
    <row r="225" spans="1:13" x14ac:dyDescent="0.4">
      <c r="A225" t="s">
        <v>8</v>
      </c>
      <c r="B225">
        <v>4</v>
      </c>
      <c r="C225" s="36">
        <v>46001.83</v>
      </c>
      <c r="D225" s="1">
        <v>44531</v>
      </c>
      <c r="E225" s="35">
        <f t="shared" si="21"/>
        <v>0.33</v>
      </c>
      <c r="F225" s="37">
        <f t="shared" si="22"/>
        <v>23000.915000000001</v>
      </c>
      <c r="G225" s="37">
        <f t="shared" si="23"/>
        <v>7590.3019500000009</v>
      </c>
      <c r="H225" s="36" cm="1">
        <f t="array" ref="H225">SUMPRODUCT((C225&gt;tier_floor)*((C225-tier_floor)*step)*margin_rate)</f>
        <v>6590.3019500000009</v>
      </c>
      <c r="I225" s="37">
        <f t="shared" si="24"/>
        <v>1000</v>
      </c>
      <c r="J225" s="38">
        <f t="shared" si="25"/>
        <v>2021</v>
      </c>
      <c r="K225" s="128">
        <f>(1+target)^($J225-(MIN(tbl_rep_mon[year])))</f>
        <v>1</v>
      </c>
      <c r="L225" s="35">
        <f t="shared" si="26"/>
        <v>0.33</v>
      </c>
      <c r="M225" s="37">
        <f t="shared" si="27"/>
        <v>7590.3019500000009</v>
      </c>
    </row>
    <row r="226" spans="1:13" x14ac:dyDescent="0.4">
      <c r="A226" t="s">
        <v>10</v>
      </c>
      <c r="B226">
        <v>3</v>
      </c>
      <c r="C226" s="36">
        <v>74731.360000000001</v>
      </c>
      <c r="D226" s="1">
        <v>44531</v>
      </c>
      <c r="E226" s="35">
        <f t="shared" si="21"/>
        <v>0.42</v>
      </c>
      <c r="F226" s="37">
        <f t="shared" si="22"/>
        <v>37365.68</v>
      </c>
      <c r="G226" s="37">
        <f t="shared" si="23"/>
        <v>15693.5856</v>
      </c>
      <c r="H226" s="36" cm="1">
        <f t="array" ref="H226">SUMPRODUCT((C226&gt;tier_floor)*((C226-tier_floor)*step)*margin_rate)</f>
        <v>12443.585599999999</v>
      </c>
      <c r="I226" s="37">
        <f t="shared" si="24"/>
        <v>3250.0000000000018</v>
      </c>
      <c r="J226" s="38">
        <f t="shared" si="25"/>
        <v>2021</v>
      </c>
      <c r="K226" s="128">
        <f>(1+target)^($J226-(MIN(tbl_rep_mon[year])))</f>
        <v>1</v>
      </c>
      <c r="L226" s="35">
        <f t="shared" si="26"/>
        <v>0.42</v>
      </c>
      <c r="M226" s="37">
        <f t="shared" si="27"/>
        <v>15693.5856</v>
      </c>
    </row>
    <row r="227" spans="1:13" x14ac:dyDescent="0.4">
      <c r="A227" t="s">
        <v>11</v>
      </c>
      <c r="B227">
        <v>1</v>
      </c>
      <c r="C227" s="36">
        <v>31664.27</v>
      </c>
      <c r="D227" s="1">
        <v>44531</v>
      </c>
      <c r="E227" s="35">
        <f t="shared" si="21"/>
        <v>0.33</v>
      </c>
      <c r="F227" s="37">
        <f t="shared" si="22"/>
        <v>15832.135</v>
      </c>
      <c r="G227" s="37">
        <f t="shared" si="23"/>
        <v>5224.60455</v>
      </c>
      <c r="H227" s="36" cm="1">
        <f t="array" ref="H227">SUMPRODUCT((C227&gt;tier_floor)*((C227-tier_floor)*step)*margin_rate)</f>
        <v>4224.60455</v>
      </c>
      <c r="I227" s="37">
        <f t="shared" si="24"/>
        <v>1000</v>
      </c>
      <c r="J227" s="38">
        <f t="shared" si="25"/>
        <v>2021</v>
      </c>
      <c r="K227" s="128">
        <f>(1+target)^($J227-(MIN(tbl_rep_mon[year])))</f>
        <v>1</v>
      </c>
      <c r="L227" s="35">
        <f t="shared" si="26"/>
        <v>0.33</v>
      </c>
      <c r="M227" s="37">
        <f t="shared" si="27"/>
        <v>5224.60455</v>
      </c>
    </row>
    <row r="228" spans="1:13" x14ac:dyDescent="0.4">
      <c r="A228" t="s">
        <v>12</v>
      </c>
      <c r="B228">
        <v>2</v>
      </c>
      <c r="C228" s="36">
        <v>56256.83</v>
      </c>
      <c r="D228" s="1">
        <v>44531</v>
      </c>
      <c r="E228" s="35">
        <f t="shared" si="21"/>
        <v>0.42</v>
      </c>
      <c r="F228" s="37">
        <f t="shared" si="22"/>
        <v>28128.415000000001</v>
      </c>
      <c r="G228" s="37">
        <f t="shared" si="23"/>
        <v>11813.934300000001</v>
      </c>
      <c r="H228" s="36" cm="1">
        <f t="array" ref="H228">SUMPRODUCT((C228&gt;tier_floor)*((C228-tier_floor)*step)*margin_rate)</f>
        <v>8563.934299999999</v>
      </c>
      <c r="I228" s="37">
        <f t="shared" si="24"/>
        <v>3250.0000000000018</v>
      </c>
      <c r="J228" s="38">
        <f t="shared" si="25"/>
        <v>2021</v>
      </c>
      <c r="K228" s="128">
        <f>(1+target)^($J228-(MIN(tbl_rep_mon[year])))</f>
        <v>1</v>
      </c>
      <c r="L228" s="35">
        <f t="shared" si="26"/>
        <v>0.42</v>
      </c>
      <c r="M228" s="37">
        <f t="shared" si="27"/>
        <v>11813.934300000001</v>
      </c>
    </row>
    <row r="229" spans="1:13" x14ac:dyDescent="0.4">
      <c r="A229" t="s">
        <v>15</v>
      </c>
      <c r="B229">
        <v>3</v>
      </c>
      <c r="C229" s="36">
        <v>50520.04</v>
      </c>
      <c r="D229" s="1">
        <v>44531</v>
      </c>
      <c r="E229" s="35">
        <f t="shared" si="21"/>
        <v>0.42</v>
      </c>
      <c r="F229" s="37">
        <f t="shared" si="22"/>
        <v>25260.02</v>
      </c>
      <c r="G229" s="37">
        <f t="shared" si="23"/>
        <v>10609.2084</v>
      </c>
      <c r="H229" s="36" cm="1">
        <f t="array" ref="H229">SUMPRODUCT((C229&gt;tier_floor)*((C229-tier_floor)*step)*margin_rate)</f>
        <v>7359.2083999999995</v>
      </c>
      <c r="I229" s="37">
        <f t="shared" si="24"/>
        <v>3250</v>
      </c>
      <c r="J229" s="38">
        <f t="shared" si="25"/>
        <v>2021</v>
      </c>
      <c r="K229" s="128">
        <f>(1+target)^($J229-(MIN(tbl_rep_mon[year])))</f>
        <v>1</v>
      </c>
      <c r="L229" s="35">
        <f t="shared" si="26"/>
        <v>0.42</v>
      </c>
      <c r="M229" s="37">
        <f t="shared" si="27"/>
        <v>10609.2084</v>
      </c>
    </row>
    <row r="230" spans="1:13" x14ac:dyDescent="0.4">
      <c r="A230" t="s">
        <v>16</v>
      </c>
      <c r="B230">
        <v>3</v>
      </c>
      <c r="C230" s="36">
        <v>61617.95</v>
      </c>
      <c r="D230" s="1">
        <v>44531</v>
      </c>
      <c r="E230" s="35">
        <f t="shared" si="21"/>
        <v>0.42</v>
      </c>
      <c r="F230" s="37">
        <f t="shared" si="22"/>
        <v>30808.974999999999</v>
      </c>
      <c r="G230" s="37">
        <f t="shared" si="23"/>
        <v>12939.769499999999</v>
      </c>
      <c r="H230" s="36" cm="1">
        <f t="array" ref="H230">SUMPRODUCT((C230&gt;tier_floor)*((C230-tier_floor)*step)*margin_rate)</f>
        <v>9689.7695000000003</v>
      </c>
      <c r="I230" s="37">
        <f t="shared" si="24"/>
        <v>3249.9999999999982</v>
      </c>
      <c r="J230" s="38">
        <f t="shared" si="25"/>
        <v>2021</v>
      </c>
      <c r="K230" s="128">
        <f>(1+target)^($J230-(MIN(tbl_rep_mon[year])))</f>
        <v>1</v>
      </c>
      <c r="L230" s="35">
        <f t="shared" si="26"/>
        <v>0.42</v>
      </c>
      <c r="M230" s="37">
        <f t="shared" si="27"/>
        <v>12939.769499999999</v>
      </c>
    </row>
    <row r="231" spans="1:13" x14ac:dyDescent="0.4">
      <c r="A231" t="s">
        <v>18</v>
      </c>
      <c r="B231">
        <v>3</v>
      </c>
      <c r="C231" s="36">
        <v>51912.51</v>
      </c>
      <c r="D231" s="1">
        <v>44531</v>
      </c>
      <c r="E231" s="35">
        <f t="shared" si="21"/>
        <v>0.42</v>
      </c>
      <c r="F231" s="37">
        <f t="shared" si="22"/>
        <v>25956.255000000001</v>
      </c>
      <c r="G231" s="37">
        <f t="shared" si="23"/>
        <v>10901.6271</v>
      </c>
      <c r="H231" s="36" cm="1">
        <f t="array" ref="H231">SUMPRODUCT((C231&gt;tier_floor)*((C231-tier_floor)*step)*margin_rate)</f>
        <v>7651.6271000000006</v>
      </c>
      <c r="I231" s="37">
        <f t="shared" si="24"/>
        <v>3249.9999999999991</v>
      </c>
      <c r="J231" s="38">
        <f t="shared" si="25"/>
        <v>2021</v>
      </c>
      <c r="K231" s="128">
        <f>(1+target)^($J231-(MIN(tbl_rep_mon[year])))</f>
        <v>1</v>
      </c>
      <c r="L231" s="35">
        <f t="shared" si="26"/>
        <v>0.42</v>
      </c>
      <c r="M231" s="37">
        <f t="shared" si="27"/>
        <v>10901.6271</v>
      </c>
    </row>
    <row r="232" spans="1:13" x14ac:dyDescent="0.4">
      <c r="A232" t="s">
        <v>19</v>
      </c>
      <c r="B232">
        <v>4</v>
      </c>
      <c r="C232" s="36">
        <v>48124.47</v>
      </c>
      <c r="D232" s="1">
        <v>44531</v>
      </c>
      <c r="E232" s="35">
        <f t="shared" si="21"/>
        <v>0.33</v>
      </c>
      <c r="F232" s="37">
        <f t="shared" si="22"/>
        <v>24062.235000000001</v>
      </c>
      <c r="G232" s="37">
        <f t="shared" si="23"/>
        <v>7940.5375500000009</v>
      </c>
      <c r="H232" s="36" cm="1">
        <f t="array" ref="H232">SUMPRODUCT((C232&gt;tier_floor)*((C232-tier_floor)*step)*margin_rate)</f>
        <v>6940.53755</v>
      </c>
      <c r="I232" s="37">
        <f t="shared" si="24"/>
        <v>1000.0000000000009</v>
      </c>
      <c r="J232" s="38">
        <f t="shared" si="25"/>
        <v>2021</v>
      </c>
      <c r="K232" s="128">
        <f>(1+target)^($J232-(MIN(tbl_rep_mon[year])))</f>
        <v>1</v>
      </c>
      <c r="L232" s="35">
        <f t="shared" si="26"/>
        <v>0.33</v>
      </c>
      <c r="M232" s="37">
        <f t="shared" si="27"/>
        <v>7940.5375500000009</v>
      </c>
    </row>
    <row r="233" spans="1:13" x14ac:dyDescent="0.4">
      <c r="A233" t="s">
        <v>20</v>
      </c>
      <c r="B233">
        <v>4</v>
      </c>
      <c r="C233" s="36">
        <v>46002.21</v>
      </c>
      <c r="D233" s="1">
        <v>44531</v>
      </c>
      <c r="E233" s="35">
        <f t="shared" si="21"/>
        <v>0.33</v>
      </c>
      <c r="F233" s="37">
        <f t="shared" si="22"/>
        <v>23001.105</v>
      </c>
      <c r="G233" s="37">
        <f t="shared" si="23"/>
        <v>7590.3646500000004</v>
      </c>
      <c r="H233" s="36" cm="1">
        <f t="array" ref="H233">SUMPRODUCT((C233&gt;tier_floor)*((C233-tier_floor)*step)*margin_rate)</f>
        <v>6590.3646499999995</v>
      </c>
      <c r="I233" s="37">
        <f t="shared" si="24"/>
        <v>1000.0000000000009</v>
      </c>
      <c r="J233" s="38">
        <f t="shared" si="25"/>
        <v>2021</v>
      </c>
      <c r="K233" s="128">
        <f>(1+target)^($J233-(MIN(tbl_rep_mon[year])))</f>
        <v>1</v>
      </c>
      <c r="L233" s="35">
        <f t="shared" si="26"/>
        <v>0.33</v>
      </c>
      <c r="M233" s="37">
        <f t="shared" si="27"/>
        <v>7590.3646500000004</v>
      </c>
    </row>
    <row r="234" spans="1:13" x14ac:dyDescent="0.4">
      <c r="A234" t="s">
        <v>21</v>
      </c>
      <c r="B234">
        <v>4</v>
      </c>
      <c r="C234" s="36">
        <v>48371.66</v>
      </c>
      <c r="D234" s="1">
        <v>44531</v>
      </c>
      <c r="E234" s="35">
        <f t="shared" si="21"/>
        <v>0.33</v>
      </c>
      <c r="F234" s="37">
        <f t="shared" si="22"/>
        <v>24185.83</v>
      </c>
      <c r="G234" s="37">
        <f t="shared" si="23"/>
        <v>7981.3239000000012</v>
      </c>
      <c r="H234" s="36" cm="1">
        <f t="array" ref="H234">SUMPRODUCT((C234&gt;tier_floor)*((C234-tier_floor)*step)*margin_rate)</f>
        <v>6981.3239000000012</v>
      </c>
      <c r="I234" s="37">
        <f t="shared" si="24"/>
        <v>1000</v>
      </c>
      <c r="J234" s="38">
        <f t="shared" si="25"/>
        <v>2021</v>
      </c>
      <c r="K234" s="128">
        <f>(1+target)^($J234-(MIN(tbl_rep_mon[year])))</f>
        <v>1</v>
      </c>
      <c r="L234" s="35">
        <f t="shared" si="26"/>
        <v>0.33</v>
      </c>
      <c r="M234" s="37">
        <f t="shared" si="27"/>
        <v>7981.3239000000012</v>
      </c>
    </row>
    <row r="235" spans="1:13" x14ac:dyDescent="0.4">
      <c r="A235" t="s">
        <v>22</v>
      </c>
      <c r="B235">
        <v>4</v>
      </c>
      <c r="C235" s="36">
        <v>52695.66</v>
      </c>
      <c r="D235" s="1">
        <v>44531</v>
      </c>
      <c r="E235" s="35">
        <f t="shared" si="21"/>
        <v>0.42</v>
      </c>
      <c r="F235" s="37">
        <f t="shared" si="22"/>
        <v>26347.83</v>
      </c>
      <c r="G235" s="37">
        <f t="shared" si="23"/>
        <v>11066.088600000001</v>
      </c>
      <c r="H235" s="36" cm="1">
        <f t="array" ref="H235">SUMPRODUCT((C235&gt;tier_floor)*((C235-tier_floor)*step)*margin_rate)</f>
        <v>7816.0886</v>
      </c>
      <c r="I235" s="37">
        <f t="shared" si="24"/>
        <v>3250.0000000000009</v>
      </c>
      <c r="J235" s="38">
        <f t="shared" si="25"/>
        <v>2021</v>
      </c>
      <c r="K235" s="128">
        <f>(1+target)^($J235-(MIN(tbl_rep_mon[year])))</f>
        <v>1</v>
      </c>
      <c r="L235" s="35">
        <f t="shared" si="26"/>
        <v>0.42</v>
      </c>
      <c r="M235" s="37">
        <f t="shared" si="27"/>
        <v>11066.088600000001</v>
      </c>
    </row>
    <row r="236" spans="1:13" x14ac:dyDescent="0.4">
      <c r="A236" t="s">
        <v>23</v>
      </c>
      <c r="B236">
        <v>1</v>
      </c>
      <c r="C236" s="36">
        <v>81120</v>
      </c>
      <c r="D236" s="1">
        <v>44531</v>
      </c>
      <c r="E236" s="35">
        <f t="shared" si="21"/>
        <v>0.51</v>
      </c>
      <c r="F236" s="37">
        <f t="shared" si="22"/>
        <v>40560</v>
      </c>
      <c r="G236" s="37">
        <f t="shared" si="23"/>
        <v>20685.599999999999</v>
      </c>
      <c r="H236" s="36" cm="1">
        <f t="array" ref="H236">SUMPRODUCT((C236&gt;tier_floor)*((C236-tier_floor)*step)*margin_rate)</f>
        <v>14060.6</v>
      </c>
      <c r="I236" s="37">
        <f t="shared" si="24"/>
        <v>6624.9999999999982</v>
      </c>
      <c r="J236" s="38">
        <f t="shared" si="25"/>
        <v>2021</v>
      </c>
      <c r="K236" s="128">
        <f>(1+target)^($J236-(MIN(tbl_rep_mon[year])))</f>
        <v>1</v>
      </c>
      <c r="L236" s="35">
        <f t="shared" si="26"/>
        <v>0.51</v>
      </c>
      <c r="M236" s="37">
        <f t="shared" si="27"/>
        <v>20685.599999999999</v>
      </c>
    </row>
    <row r="237" spans="1:13" x14ac:dyDescent="0.4">
      <c r="A237" t="s">
        <v>24</v>
      </c>
      <c r="B237">
        <v>3</v>
      </c>
      <c r="C237" s="36">
        <v>40991.43</v>
      </c>
      <c r="D237" s="1">
        <v>44531</v>
      </c>
      <c r="E237" s="35">
        <f t="shared" si="21"/>
        <v>0.33</v>
      </c>
      <c r="F237" s="37">
        <f t="shared" si="22"/>
        <v>20495.715</v>
      </c>
      <c r="G237" s="37">
        <f t="shared" si="23"/>
        <v>6763.5859500000006</v>
      </c>
      <c r="H237" s="36" cm="1">
        <f t="array" ref="H237">SUMPRODUCT((C237&gt;tier_floor)*((C237-tier_floor)*step)*margin_rate)</f>
        <v>5763.5859500000006</v>
      </c>
      <c r="I237" s="37">
        <f t="shared" si="24"/>
        <v>1000</v>
      </c>
      <c r="J237" s="38">
        <f t="shared" si="25"/>
        <v>2021</v>
      </c>
      <c r="K237" s="128">
        <f>(1+target)^($J237-(MIN(tbl_rep_mon[year])))</f>
        <v>1</v>
      </c>
      <c r="L237" s="35">
        <f t="shared" si="26"/>
        <v>0.33</v>
      </c>
      <c r="M237" s="37">
        <f t="shared" si="27"/>
        <v>6763.5859500000006</v>
      </c>
    </row>
    <row r="238" spans="1:13" x14ac:dyDescent="0.4">
      <c r="A238" t="s">
        <v>25</v>
      </c>
      <c r="B238">
        <v>2</v>
      </c>
      <c r="C238" s="36">
        <v>52528.68</v>
      </c>
      <c r="D238" s="1">
        <v>44531</v>
      </c>
      <c r="E238" s="35">
        <f t="shared" si="21"/>
        <v>0.42</v>
      </c>
      <c r="F238" s="37">
        <f t="shared" si="22"/>
        <v>26264.34</v>
      </c>
      <c r="G238" s="37">
        <f t="shared" si="23"/>
        <v>11031.022799999999</v>
      </c>
      <c r="H238" s="36" cm="1">
        <f t="array" ref="H238">SUMPRODUCT((C238&gt;tier_floor)*((C238-tier_floor)*step)*margin_rate)</f>
        <v>7781.0228000000006</v>
      </c>
      <c r="I238" s="37">
        <f t="shared" si="24"/>
        <v>3249.9999999999982</v>
      </c>
      <c r="J238" s="38">
        <f t="shared" si="25"/>
        <v>2021</v>
      </c>
      <c r="K238" s="128">
        <f>(1+target)^($J238-(MIN(tbl_rep_mon[year])))</f>
        <v>1</v>
      </c>
      <c r="L238" s="35">
        <f t="shared" si="26"/>
        <v>0.42</v>
      </c>
      <c r="M238" s="37">
        <f t="shared" si="27"/>
        <v>11031.022799999999</v>
      </c>
    </row>
    <row r="239" spans="1:13" x14ac:dyDescent="0.4">
      <c r="A239" t="s">
        <v>26</v>
      </c>
      <c r="B239">
        <v>2</v>
      </c>
      <c r="C239" s="36">
        <v>52822.12</v>
      </c>
      <c r="D239" s="1">
        <v>44531</v>
      </c>
      <c r="E239" s="35">
        <f t="shared" si="21"/>
        <v>0.42</v>
      </c>
      <c r="F239" s="37">
        <f t="shared" si="22"/>
        <v>26411.06</v>
      </c>
      <c r="G239" s="37">
        <f t="shared" si="23"/>
        <v>11092.645200000001</v>
      </c>
      <c r="H239" s="36" cm="1">
        <f t="array" ref="H239">SUMPRODUCT((C239&gt;tier_floor)*((C239-tier_floor)*step)*margin_rate)</f>
        <v>7842.6452000000008</v>
      </c>
      <c r="I239" s="37">
        <f t="shared" si="24"/>
        <v>3250</v>
      </c>
      <c r="J239" s="38">
        <f t="shared" si="25"/>
        <v>2021</v>
      </c>
      <c r="K239" s="128">
        <f>(1+target)^($J239-(MIN(tbl_rep_mon[year])))</f>
        <v>1</v>
      </c>
      <c r="L239" s="35">
        <f t="shared" si="26"/>
        <v>0.42</v>
      </c>
      <c r="M239" s="37">
        <f t="shared" si="27"/>
        <v>11092.645200000001</v>
      </c>
    </row>
    <row r="240" spans="1:13" x14ac:dyDescent="0.4">
      <c r="A240" t="s">
        <v>27</v>
      </c>
      <c r="B240">
        <v>4</v>
      </c>
      <c r="C240" s="36">
        <v>45304.99</v>
      </c>
      <c r="D240" s="1">
        <v>44531</v>
      </c>
      <c r="E240" s="35">
        <f t="shared" si="21"/>
        <v>0.33</v>
      </c>
      <c r="F240" s="37">
        <f t="shared" si="22"/>
        <v>22652.494999999999</v>
      </c>
      <c r="G240" s="37">
        <f t="shared" si="23"/>
        <v>7475.3233499999997</v>
      </c>
      <c r="H240" s="36" cm="1">
        <f t="array" ref="H240">SUMPRODUCT((C240&gt;tier_floor)*((C240-tier_floor)*step)*margin_rate)</f>
        <v>6475.3233499999997</v>
      </c>
      <c r="I240" s="37">
        <f t="shared" si="24"/>
        <v>1000</v>
      </c>
      <c r="J240" s="38">
        <f t="shared" si="25"/>
        <v>2021</v>
      </c>
      <c r="K240" s="128">
        <f>(1+target)^($J240-(MIN(tbl_rep_mon[year])))</f>
        <v>1</v>
      </c>
      <c r="L240" s="35">
        <f t="shared" si="26"/>
        <v>0.33</v>
      </c>
      <c r="M240" s="37">
        <f t="shared" si="27"/>
        <v>7475.3233499999997</v>
      </c>
    </row>
    <row r="241" spans="1:13" x14ac:dyDescent="0.4">
      <c r="A241" t="s">
        <v>28</v>
      </c>
      <c r="B241">
        <v>2</v>
      </c>
      <c r="C241" s="36">
        <v>49354.02</v>
      </c>
      <c r="D241" s="1">
        <v>44531</v>
      </c>
      <c r="E241" s="35">
        <f t="shared" si="21"/>
        <v>0.33</v>
      </c>
      <c r="F241" s="37">
        <f t="shared" si="22"/>
        <v>24677.01</v>
      </c>
      <c r="G241" s="37">
        <f t="shared" si="23"/>
        <v>8143.4133000000002</v>
      </c>
      <c r="H241" s="36" cm="1">
        <f t="array" ref="H241">SUMPRODUCT((C241&gt;tier_floor)*((C241-tier_floor)*step)*margin_rate)</f>
        <v>7143.4133000000002</v>
      </c>
      <c r="I241" s="37">
        <f t="shared" si="24"/>
        <v>1000</v>
      </c>
      <c r="J241" s="38">
        <f t="shared" si="25"/>
        <v>2021</v>
      </c>
      <c r="K241" s="128">
        <f>(1+target)^($J241-(MIN(tbl_rep_mon[year])))</f>
        <v>1</v>
      </c>
      <c r="L241" s="35">
        <f t="shared" si="26"/>
        <v>0.33</v>
      </c>
      <c r="M241" s="37">
        <f t="shared" si="27"/>
        <v>8143.4133000000002</v>
      </c>
    </row>
    <row r="242" spans="1:13" x14ac:dyDescent="0.4">
      <c r="A242" t="s">
        <v>4</v>
      </c>
      <c r="B242">
        <v>4</v>
      </c>
      <c r="C242" s="36">
        <v>3908.87</v>
      </c>
      <c r="D242" s="1">
        <v>44562</v>
      </c>
      <c r="E242" s="35">
        <f t="shared" si="21"/>
        <v>0.25</v>
      </c>
      <c r="F242" s="37">
        <f t="shared" si="22"/>
        <v>1954.4349999999999</v>
      </c>
      <c r="G242" s="37">
        <f t="shared" si="23"/>
        <v>488.60874999999999</v>
      </c>
      <c r="H242" s="36" cm="1">
        <f t="array" ref="H242">SUMPRODUCT((C242&gt;tier_floor)*((C242-tier_floor)*step)*margin_rate)</f>
        <v>488.60874999999999</v>
      </c>
      <c r="I242" s="37">
        <f t="shared" si="24"/>
        <v>0</v>
      </c>
      <c r="J242" s="38">
        <f t="shared" si="25"/>
        <v>2022</v>
      </c>
      <c r="K242" s="128">
        <f>(1+target)^($J242-(MIN(tbl_rep_mon[year])))</f>
        <v>1.1499999999999999</v>
      </c>
      <c r="L242" s="35">
        <f t="shared" si="26"/>
        <v>0.25</v>
      </c>
      <c r="M242" s="37">
        <f t="shared" si="27"/>
        <v>488.60874999999999</v>
      </c>
    </row>
    <row r="243" spans="1:13" x14ac:dyDescent="0.4">
      <c r="A243" t="s">
        <v>6</v>
      </c>
      <c r="B243">
        <v>2</v>
      </c>
      <c r="C243" s="36">
        <v>51438.59</v>
      </c>
      <c r="D243" s="1">
        <v>44562</v>
      </c>
      <c r="E243" s="35">
        <f t="shared" si="21"/>
        <v>0.42</v>
      </c>
      <c r="F243" s="37">
        <f t="shared" si="22"/>
        <v>25719.294999999998</v>
      </c>
      <c r="G243" s="37">
        <f t="shared" si="23"/>
        <v>10802.103899999998</v>
      </c>
      <c r="H243" s="36" cm="1">
        <f t="array" ref="H243">SUMPRODUCT((C243&gt;tier_floor)*((C243-tier_floor)*step)*margin_rate)</f>
        <v>7552.1038999999992</v>
      </c>
      <c r="I243" s="37">
        <f t="shared" si="24"/>
        <v>3249.9999999999991</v>
      </c>
      <c r="J243" s="38">
        <f t="shared" si="25"/>
        <v>2022</v>
      </c>
      <c r="K243" s="128">
        <f>(1+target)^($J243-(MIN(tbl_rep_mon[year])))</f>
        <v>1.1499999999999999</v>
      </c>
      <c r="L243" s="35">
        <f t="shared" si="26"/>
        <v>0.33</v>
      </c>
      <c r="M243" s="37">
        <f t="shared" si="27"/>
        <v>8487.3673500000004</v>
      </c>
    </row>
    <row r="244" spans="1:13" x14ac:dyDescent="0.4">
      <c r="A244" t="s">
        <v>7</v>
      </c>
      <c r="B244">
        <v>4</v>
      </c>
      <c r="C244" s="36">
        <v>60402.59</v>
      </c>
      <c r="D244" s="1">
        <v>44562</v>
      </c>
      <c r="E244" s="35">
        <f t="shared" si="21"/>
        <v>0.42</v>
      </c>
      <c r="F244" s="37">
        <f t="shared" si="22"/>
        <v>30201.294999999998</v>
      </c>
      <c r="G244" s="37">
        <f t="shared" si="23"/>
        <v>12684.543899999999</v>
      </c>
      <c r="H244" s="36" cm="1">
        <f t="array" ref="H244">SUMPRODUCT((C244&gt;tier_floor)*((C244-tier_floor)*step)*margin_rate)</f>
        <v>9434.5438999999988</v>
      </c>
      <c r="I244" s="37">
        <f t="shared" si="24"/>
        <v>3250</v>
      </c>
      <c r="J244" s="38">
        <f t="shared" si="25"/>
        <v>2022</v>
      </c>
      <c r="K244" s="128">
        <f>(1+target)^($J244-(MIN(tbl_rep_mon[year])))</f>
        <v>1.1499999999999999</v>
      </c>
      <c r="L244" s="35">
        <f t="shared" si="26"/>
        <v>0.42</v>
      </c>
      <c r="M244" s="37">
        <f t="shared" si="27"/>
        <v>12684.543899999999</v>
      </c>
    </row>
    <row r="245" spans="1:13" x14ac:dyDescent="0.4">
      <c r="A245" t="s">
        <v>8</v>
      </c>
      <c r="B245">
        <v>4</v>
      </c>
      <c r="C245" s="36">
        <v>55790.82</v>
      </c>
      <c r="D245" s="1">
        <v>44562</v>
      </c>
      <c r="E245" s="35">
        <f t="shared" si="21"/>
        <v>0.42</v>
      </c>
      <c r="F245" s="37">
        <f t="shared" si="22"/>
        <v>27895.41</v>
      </c>
      <c r="G245" s="37">
        <f t="shared" si="23"/>
        <v>11716.072199999999</v>
      </c>
      <c r="H245" s="36" cm="1">
        <f t="array" ref="H245">SUMPRODUCT((C245&gt;tier_floor)*((C245-tier_floor)*step)*margin_rate)</f>
        <v>8466.0722000000005</v>
      </c>
      <c r="I245" s="37">
        <f t="shared" si="24"/>
        <v>3249.9999999999982</v>
      </c>
      <c r="J245" s="38">
        <f t="shared" si="25"/>
        <v>2022</v>
      </c>
      <c r="K245" s="128">
        <f>(1+target)^($J245-(MIN(tbl_rep_mon[year])))</f>
        <v>1.1499999999999999</v>
      </c>
      <c r="L245" s="35">
        <f t="shared" si="26"/>
        <v>0.33</v>
      </c>
      <c r="M245" s="37">
        <f t="shared" si="27"/>
        <v>9205.4853000000003</v>
      </c>
    </row>
    <row r="246" spans="1:13" x14ac:dyDescent="0.4">
      <c r="A246" t="s">
        <v>10</v>
      </c>
      <c r="B246">
        <v>3</v>
      </c>
      <c r="C246" s="36">
        <v>81963.72</v>
      </c>
      <c r="D246" s="1">
        <v>44562</v>
      </c>
      <c r="E246" s="35">
        <f t="shared" si="21"/>
        <v>0.51</v>
      </c>
      <c r="F246" s="37">
        <f t="shared" si="22"/>
        <v>40981.86</v>
      </c>
      <c r="G246" s="37">
        <f t="shared" si="23"/>
        <v>20900.748599999999</v>
      </c>
      <c r="H246" s="36" cm="1">
        <f t="array" ref="H246">SUMPRODUCT((C246&gt;tier_floor)*((C246-tier_floor)*step)*margin_rate)</f>
        <v>14275.748600000001</v>
      </c>
      <c r="I246" s="37">
        <f t="shared" si="24"/>
        <v>6624.9999999999982</v>
      </c>
      <c r="J246" s="38">
        <f t="shared" si="25"/>
        <v>2022</v>
      </c>
      <c r="K246" s="128">
        <f>(1+target)^($J246-(MIN(tbl_rep_mon[year])))</f>
        <v>1.1499999999999999</v>
      </c>
      <c r="L246" s="35">
        <f t="shared" si="26"/>
        <v>0.42</v>
      </c>
      <c r="M246" s="37">
        <f t="shared" si="27"/>
        <v>17212.3812</v>
      </c>
    </row>
    <row r="247" spans="1:13" x14ac:dyDescent="0.4">
      <c r="A247" t="s">
        <v>12</v>
      </c>
      <c r="B247">
        <v>2</v>
      </c>
      <c r="C247" s="36">
        <v>60417.08</v>
      </c>
      <c r="D247" s="1">
        <v>44562</v>
      </c>
      <c r="E247" s="35">
        <f t="shared" si="21"/>
        <v>0.42</v>
      </c>
      <c r="F247" s="37">
        <f t="shared" si="22"/>
        <v>30208.54</v>
      </c>
      <c r="G247" s="37">
        <f t="shared" si="23"/>
        <v>12687.586799999999</v>
      </c>
      <c r="H247" s="36" cm="1">
        <f t="array" ref="H247">SUMPRODUCT((C247&gt;tier_floor)*((C247-tier_floor)*step)*margin_rate)</f>
        <v>9437.5868000000009</v>
      </c>
      <c r="I247" s="37">
        <f t="shared" si="24"/>
        <v>3249.9999999999982</v>
      </c>
      <c r="J247" s="38">
        <f t="shared" si="25"/>
        <v>2022</v>
      </c>
      <c r="K247" s="128">
        <f>(1+target)^($J247-(MIN(tbl_rep_mon[year])))</f>
        <v>1.1499999999999999</v>
      </c>
      <c r="L247" s="35">
        <f t="shared" si="26"/>
        <v>0.42</v>
      </c>
      <c r="M247" s="37">
        <f t="shared" si="27"/>
        <v>12687.586799999999</v>
      </c>
    </row>
    <row r="248" spans="1:13" x14ac:dyDescent="0.4">
      <c r="A248" t="s">
        <v>15</v>
      </c>
      <c r="B248">
        <v>3</v>
      </c>
      <c r="C248" s="36">
        <v>53515.3</v>
      </c>
      <c r="D248" s="1">
        <v>44562</v>
      </c>
      <c r="E248" s="35">
        <f t="shared" si="21"/>
        <v>0.42</v>
      </c>
      <c r="F248" s="37">
        <f t="shared" si="22"/>
        <v>26757.65</v>
      </c>
      <c r="G248" s="37">
        <f t="shared" si="23"/>
        <v>11238.213</v>
      </c>
      <c r="H248" s="36" cm="1">
        <f t="array" ref="H248">SUMPRODUCT((C248&gt;tier_floor)*((C248-tier_floor)*step)*margin_rate)</f>
        <v>7988.2130000000006</v>
      </c>
      <c r="I248" s="37">
        <f t="shared" si="24"/>
        <v>3249.9999999999991</v>
      </c>
      <c r="J248" s="38">
        <f t="shared" si="25"/>
        <v>2022</v>
      </c>
      <c r="K248" s="128">
        <f>(1+target)^($J248-(MIN(tbl_rep_mon[year])))</f>
        <v>1.1499999999999999</v>
      </c>
      <c r="L248" s="35">
        <f t="shared" si="26"/>
        <v>0.33</v>
      </c>
      <c r="M248" s="37">
        <f t="shared" si="27"/>
        <v>8830.0245000000014</v>
      </c>
    </row>
    <row r="249" spans="1:13" x14ac:dyDescent="0.4">
      <c r="A249" t="s">
        <v>16</v>
      </c>
      <c r="B249">
        <v>3</v>
      </c>
      <c r="C249" s="36">
        <v>66667.44</v>
      </c>
      <c r="D249" s="1">
        <v>44562</v>
      </c>
      <c r="E249" s="35">
        <f t="shared" si="21"/>
        <v>0.42</v>
      </c>
      <c r="F249" s="37">
        <f t="shared" si="22"/>
        <v>33333.72</v>
      </c>
      <c r="G249" s="37">
        <f t="shared" si="23"/>
        <v>14000.162399999999</v>
      </c>
      <c r="H249" s="36" cm="1">
        <f t="array" ref="H249">SUMPRODUCT((C249&gt;tier_floor)*((C249-tier_floor)*step)*margin_rate)</f>
        <v>10750.162399999999</v>
      </c>
      <c r="I249" s="37">
        <f t="shared" si="24"/>
        <v>3250</v>
      </c>
      <c r="J249" s="38">
        <f t="shared" si="25"/>
        <v>2022</v>
      </c>
      <c r="K249" s="128">
        <f>(1+target)^($J249-(MIN(tbl_rep_mon[year])))</f>
        <v>1.1499999999999999</v>
      </c>
      <c r="L249" s="35">
        <f t="shared" si="26"/>
        <v>0.42</v>
      </c>
      <c r="M249" s="37">
        <f t="shared" si="27"/>
        <v>14000.162399999999</v>
      </c>
    </row>
    <row r="250" spans="1:13" x14ac:dyDescent="0.4">
      <c r="A250" t="s">
        <v>18</v>
      </c>
      <c r="B250">
        <v>3</v>
      </c>
      <c r="C250" s="36">
        <v>64617</v>
      </c>
      <c r="D250" s="1">
        <v>44562</v>
      </c>
      <c r="E250" s="35">
        <f t="shared" si="21"/>
        <v>0.42</v>
      </c>
      <c r="F250" s="37">
        <f t="shared" si="22"/>
        <v>32308.5</v>
      </c>
      <c r="G250" s="37">
        <f t="shared" si="23"/>
        <v>13569.57</v>
      </c>
      <c r="H250" s="36" cm="1">
        <f t="array" ref="H250">SUMPRODUCT((C250&gt;tier_floor)*((C250-tier_floor)*step)*margin_rate)</f>
        <v>10319.57</v>
      </c>
      <c r="I250" s="37">
        <f t="shared" si="24"/>
        <v>3250</v>
      </c>
      <c r="J250" s="38">
        <f t="shared" si="25"/>
        <v>2022</v>
      </c>
      <c r="K250" s="128">
        <f>(1+target)^($J250-(MIN(tbl_rep_mon[year])))</f>
        <v>1.1499999999999999</v>
      </c>
      <c r="L250" s="35">
        <f t="shared" si="26"/>
        <v>0.42</v>
      </c>
      <c r="M250" s="37">
        <f t="shared" si="27"/>
        <v>13569.57</v>
      </c>
    </row>
    <row r="251" spans="1:13" x14ac:dyDescent="0.4">
      <c r="A251" t="s">
        <v>19</v>
      </c>
      <c r="B251">
        <v>4</v>
      </c>
      <c r="C251" s="36">
        <v>57158.9</v>
      </c>
      <c r="D251" s="1">
        <v>44562</v>
      </c>
      <c r="E251" s="35">
        <f t="shared" si="21"/>
        <v>0.42</v>
      </c>
      <c r="F251" s="37">
        <f t="shared" si="22"/>
        <v>28579.45</v>
      </c>
      <c r="G251" s="37">
        <f t="shared" si="23"/>
        <v>12003.369000000001</v>
      </c>
      <c r="H251" s="36" cm="1">
        <f t="array" ref="H251">SUMPRODUCT((C251&gt;tier_floor)*((C251-tier_floor)*step)*margin_rate)</f>
        <v>8753.3690000000006</v>
      </c>
      <c r="I251" s="37">
        <f t="shared" si="24"/>
        <v>3250</v>
      </c>
      <c r="J251" s="38">
        <f t="shared" si="25"/>
        <v>2022</v>
      </c>
      <c r="K251" s="128">
        <f>(1+target)^($J251-(MIN(tbl_rep_mon[year])))</f>
        <v>1.1499999999999999</v>
      </c>
      <c r="L251" s="35">
        <f t="shared" si="26"/>
        <v>0.33</v>
      </c>
      <c r="M251" s="37">
        <f t="shared" si="27"/>
        <v>9431.2185000000009</v>
      </c>
    </row>
    <row r="252" spans="1:13" x14ac:dyDescent="0.4">
      <c r="A252" t="s">
        <v>20</v>
      </c>
      <c r="B252">
        <v>4</v>
      </c>
      <c r="C252" s="36">
        <v>47601.91</v>
      </c>
      <c r="D252" s="1">
        <v>44562</v>
      </c>
      <c r="E252" s="35">
        <f t="shared" si="21"/>
        <v>0.33</v>
      </c>
      <c r="F252" s="37">
        <f t="shared" si="22"/>
        <v>23800.955000000002</v>
      </c>
      <c r="G252" s="37">
        <f t="shared" si="23"/>
        <v>7854.3151500000013</v>
      </c>
      <c r="H252" s="36" cm="1">
        <f t="array" ref="H252">SUMPRODUCT((C252&gt;tier_floor)*((C252-tier_floor)*step)*margin_rate)</f>
        <v>6854.3151500000004</v>
      </c>
      <c r="I252" s="37">
        <f t="shared" si="24"/>
        <v>1000.0000000000009</v>
      </c>
      <c r="J252" s="38">
        <f t="shared" si="25"/>
        <v>2022</v>
      </c>
      <c r="K252" s="128">
        <f>(1+target)^($J252-(MIN(tbl_rep_mon[year])))</f>
        <v>1.1499999999999999</v>
      </c>
      <c r="L252" s="35">
        <f t="shared" si="26"/>
        <v>0.33</v>
      </c>
      <c r="M252" s="37">
        <f t="shared" si="27"/>
        <v>7854.3151500000013</v>
      </c>
    </row>
    <row r="253" spans="1:13" x14ac:dyDescent="0.4">
      <c r="A253" t="s">
        <v>21</v>
      </c>
      <c r="B253">
        <v>4</v>
      </c>
      <c r="C253" s="36">
        <v>54300.44</v>
      </c>
      <c r="D253" s="1">
        <v>44562</v>
      </c>
      <c r="E253" s="35">
        <f t="shared" si="21"/>
        <v>0.42</v>
      </c>
      <c r="F253" s="37">
        <f t="shared" si="22"/>
        <v>27150.22</v>
      </c>
      <c r="G253" s="37">
        <f t="shared" si="23"/>
        <v>11403.0924</v>
      </c>
      <c r="H253" s="36" cm="1">
        <f t="array" ref="H253">SUMPRODUCT((C253&gt;tier_floor)*((C253-tier_floor)*step)*margin_rate)</f>
        <v>8153.0924000000005</v>
      </c>
      <c r="I253" s="37">
        <f t="shared" si="24"/>
        <v>3249.9999999999991</v>
      </c>
      <c r="J253" s="38">
        <f t="shared" si="25"/>
        <v>2022</v>
      </c>
      <c r="K253" s="128">
        <f>(1+target)^($J253-(MIN(tbl_rep_mon[year])))</f>
        <v>1.1499999999999999</v>
      </c>
      <c r="L253" s="35">
        <f t="shared" si="26"/>
        <v>0.33</v>
      </c>
      <c r="M253" s="37">
        <f t="shared" si="27"/>
        <v>8959.5726000000013</v>
      </c>
    </row>
    <row r="254" spans="1:13" x14ac:dyDescent="0.4">
      <c r="A254" t="s">
        <v>22</v>
      </c>
      <c r="B254">
        <v>4</v>
      </c>
      <c r="C254" s="36">
        <v>53595.68</v>
      </c>
      <c r="D254" s="1">
        <v>44562</v>
      </c>
      <c r="E254" s="35">
        <f t="shared" si="21"/>
        <v>0.42</v>
      </c>
      <c r="F254" s="37">
        <f t="shared" si="22"/>
        <v>26797.84</v>
      </c>
      <c r="G254" s="37">
        <f t="shared" si="23"/>
        <v>11255.0928</v>
      </c>
      <c r="H254" s="36" cm="1">
        <f t="array" ref="H254">SUMPRODUCT((C254&gt;tier_floor)*((C254-tier_floor)*step)*margin_rate)</f>
        <v>8005.0928000000004</v>
      </c>
      <c r="I254" s="37">
        <f t="shared" si="24"/>
        <v>3250</v>
      </c>
      <c r="J254" s="38">
        <f t="shared" si="25"/>
        <v>2022</v>
      </c>
      <c r="K254" s="128">
        <f>(1+target)^($J254-(MIN(tbl_rep_mon[year])))</f>
        <v>1.1499999999999999</v>
      </c>
      <c r="L254" s="35">
        <f t="shared" si="26"/>
        <v>0.33</v>
      </c>
      <c r="M254" s="37">
        <f t="shared" si="27"/>
        <v>8843.2872000000007</v>
      </c>
    </row>
    <row r="255" spans="1:13" x14ac:dyDescent="0.4">
      <c r="A255" t="s">
        <v>23</v>
      </c>
      <c r="B255">
        <v>1</v>
      </c>
      <c r="C255" s="36">
        <v>91433.89</v>
      </c>
      <c r="D255" s="1">
        <v>44562</v>
      </c>
      <c r="E255" s="35">
        <f t="shared" si="21"/>
        <v>0.51</v>
      </c>
      <c r="F255" s="37">
        <f t="shared" si="22"/>
        <v>45716.945</v>
      </c>
      <c r="G255" s="37">
        <f t="shared" si="23"/>
        <v>23315.641950000001</v>
      </c>
      <c r="H255" s="36" cm="1">
        <f t="array" ref="H255">SUMPRODUCT((C255&gt;tier_floor)*((C255-tier_floor)*step)*margin_rate)</f>
        <v>16690.641950000001</v>
      </c>
      <c r="I255" s="37">
        <f t="shared" si="24"/>
        <v>6625</v>
      </c>
      <c r="J255" s="38">
        <f t="shared" si="25"/>
        <v>2022</v>
      </c>
      <c r="K255" s="128">
        <f>(1+target)^($J255-(MIN(tbl_rep_mon[year])))</f>
        <v>1.1499999999999999</v>
      </c>
      <c r="L255" s="35">
        <f t="shared" si="26"/>
        <v>0.51</v>
      </c>
      <c r="M255" s="37">
        <f t="shared" si="27"/>
        <v>23315.641950000001</v>
      </c>
    </row>
    <row r="256" spans="1:13" x14ac:dyDescent="0.4">
      <c r="A256" t="s">
        <v>24</v>
      </c>
      <c r="B256">
        <v>3</v>
      </c>
      <c r="C256" s="36">
        <v>52176.94</v>
      </c>
      <c r="D256" s="1">
        <v>44562</v>
      </c>
      <c r="E256" s="35">
        <f t="shared" si="21"/>
        <v>0.42</v>
      </c>
      <c r="F256" s="37">
        <f t="shared" si="22"/>
        <v>26088.47</v>
      </c>
      <c r="G256" s="37">
        <f t="shared" si="23"/>
        <v>10957.1574</v>
      </c>
      <c r="H256" s="36" cm="1">
        <f t="array" ref="H256">SUMPRODUCT((C256&gt;tier_floor)*((C256-tier_floor)*step)*margin_rate)</f>
        <v>7707.157400000001</v>
      </c>
      <c r="I256" s="37">
        <f t="shared" si="24"/>
        <v>3249.9999999999991</v>
      </c>
      <c r="J256" s="38">
        <f t="shared" si="25"/>
        <v>2022</v>
      </c>
      <c r="K256" s="128">
        <f>(1+target)^($J256-(MIN(tbl_rep_mon[year])))</f>
        <v>1.1499999999999999</v>
      </c>
      <c r="L256" s="35">
        <f t="shared" si="26"/>
        <v>0.33</v>
      </c>
      <c r="M256" s="37">
        <f t="shared" si="27"/>
        <v>8609.1951000000008</v>
      </c>
    </row>
    <row r="257" spans="1:13" x14ac:dyDescent="0.4">
      <c r="A257" t="s">
        <v>25</v>
      </c>
      <c r="B257">
        <v>2</v>
      </c>
      <c r="C257" s="36">
        <v>61448.74</v>
      </c>
      <c r="D257" s="1">
        <v>44562</v>
      </c>
      <c r="E257" s="35">
        <f t="shared" si="21"/>
        <v>0.42</v>
      </c>
      <c r="F257" s="37">
        <f t="shared" si="22"/>
        <v>30724.37</v>
      </c>
      <c r="G257" s="37">
        <f t="shared" si="23"/>
        <v>12904.2354</v>
      </c>
      <c r="H257" s="36" cm="1">
        <f t="array" ref="H257">SUMPRODUCT((C257&gt;tier_floor)*((C257-tier_floor)*step)*margin_rate)</f>
        <v>9654.2353999999996</v>
      </c>
      <c r="I257" s="37">
        <f t="shared" si="24"/>
        <v>3250</v>
      </c>
      <c r="J257" s="38">
        <f t="shared" si="25"/>
        <v>2022</v>
      </c>
      <c r="K257" s="128">
        <f>(1+target)^($J257-(MIN(tbl_rep_mon[year])))</f>
        <v>1.1499999999999999</v>
      </c>
      <c r="L257" s="35">
        <f t="shared" si="26"/>
        <v>0.42</v>
      </c>
      <c r="M257" s="37">
        <f t="shared" si="27"/>
        <v>12904.2354</v>
      </c>
    </row>
    <row r="258" spans="1:13" x14ac:dyDescent="0.4">
      <c r="A258" t="s">
        <v>26</v>
      </c>
      <c r="B258">
        <v>2</v>
      </c>
      <c r="C258" s="36">
        <v>61183.29</v>
      </c>
      <c r="D258" s="1">
        <v>44562</v>
      </c>
      <c r="E258" s="35">
        <f t="shared" ref="E258:E321" si="28">_xlfn.XLOOKUP(C258,tier_floor,tier_rate,,-1)</f>
        <v>0.42</v>
      </c>
      <c r="F258" s="37">
        <f t="shared" ref="F258:F321" si="29">C258*margin_rate</f>
        <v>30591.645</v>
      </c>
      <c r="G258" s="37">
        <f t="shared" ref="G258:G321" si="30">F258*E258</f>
        <v>12848.490899999999</v>
      </c>
      <c r="H258" s="36" cm="1">
        <f t="array" ref="H258">SUMPRODUCT((C258&gt;tier_floor)*((C258-tier_floor)*step)*margin_rate)</f>
        <v>9598.4909000000007</v>
      </c>
      <c r="I258" s="37">
        <f t="shared" ref="I258:I321" si="31">G258-H258</f>
        <v>3249.9999999999982</v>
      </c>
      <c r="J258" s="38">
        <f t="shared" ref="J258:J321" si="32">YEAR(D258)</f>
        <v>2022</v>
      </c>
      <c r="K258" s="128">
        <f>(1+target)^($J258-(MIN(tbl_rep_mon[year])))</f>
        <v>1.1499999999999999</v>
      </c>
      <c r="L258" s="35">
        <f t="shared" ref="L258:L321" si="33">_xlfn.XLOOKUP(($C258/$K258),tier_floor,tier_rate,,-1)</f>
        <v>0.42</v>
      </c>
      <c r="M258" s="37">
        <f t="shared" ref="M258:M321" si="34">$F258*$L258</f>
        <v>12848.490899999999</v>
      </c>
    </row>
    <row r="259" spans="1:13" x14ac:dyDescent="0.4">
      <c r="A259" t="s">
        <v>27</v>
      </c>
      <c r="B259">
        <v>4</v>
      </c>
      <c r="C259" s="36">
        <v>58219.66</v>
      </c>
      <c r="D259" s="1">
        <v>44562</v>
      </c>
      <c r="E259" s="35">
        <f t="shared" si="28"/>
        <v>0.42</v>
      </c>
      <c r="F259" s="37">
        <f t="shared" si="29"/>
        <v>29109.83</v>
      </c>
      <c r="G259" s="37">
        <f t="shared" si="30"/>
        <v>12226.1286</v>
      </c>
      <c r="H259" s="36" cm="1">
        <f t="array" ref="H259">SUMPRODUCT((C259&gt;tier_floor)*((C259-tier_floor)*step)*margin_rate)</f>
        <v>8976.1286000000018</v>
      </c>
      <c r="I259" s="37">
        <f t="shared" si="31"/>
        <v>3249.9999999999982</v>
      </c>
      <c r="J259" s="38">
        <f t="shared" si="32"/>
        <v>2022</v>
      </c>
      <c r="K259" s="128">
        <f>(1+target)^($J259-(MIN(tbl_rep_mon[year])))</f>
        <v>1.1499999999999999</v>
      </c>
      <c r="L259" s="35">
        <f t="shared" si="33"/>
        <v>0.42</v>
      </c>
      <c r="M259" s="37">
        <f t="shared" si="34"/>
        <v>12226.1286</v>
      </c>
    </row>
    <row r="260" spans="1:13" x14ac:dyDescent="0.4">
      <c r="A260" t="s">
        <v>28</v>
      </c>
      <c r="B260">
        <v>2</v>
      </c>
      <c r="C260" s="36">
        <v>54396.26</v>
      </c>
      <c r="D260" s="1">
        <v>44562</v>
      </c>
      <c r="E260" s="35">
        <f t="shared" si="28"/>
        <v>0.42</v>
      </c>
      <c r="F260" s="37">
        <f t="shared" si="29"/>
        <v>27198.13</v>
      </c>
      <c r="G260" s="37">
        <f t="shared" si="30"/>
        <v>11423.214599999999</v>
      </c>
      <c r="H260" s="36" cm="1">
        <f t="array" ref="H260">SUMPRODUCT((C260&gt;tier_floor)*((C260-tier_floor)*step)*margin_rate)</f>
        <v>8173.2146000000002</v>
      </c>
      <c r="I260" s="37">
        <f t="shared" si="31"/>
        <v>3249.9999999999991</v>
      </c>
      <c r="J260" s="38">
        <f t="shared" si="32"/>
        <v>2022</v>
      </c>
      <c r="K260" s="128">
        <f>(1+target)^($J260-(MIN(tbl_rep_mon[year])))</f>
        <v>1.1499999999999999</v>
      </c>
      <c r="L260" s="35">
        <f t="shared" si="33"/>
        <v>0.33</v>
      </c>
      <c r="M260" s="37">
        <f t="shared" si="34"/>
        <v>8975.3829000000005</v>
      </c>
    </row>
    <row r="261" spans="1:13" x14ac:dyDescent="0.4">
      <c r="A261" t="s">
        <v>29</v>
      </c>
      <c r="B261">
        <v>1</v>
      </c>
      <c r="C261" s="36">
        <v>29307.8</v>
      </c>
      <c r="D261" s="1">
        <v>44562</v>
      </c>
      <c r="E261" s="35">
        <f t="shared" si="28"/>
        <v>0.33</v>
      </c>
      <c r="F261" s="37">
        <f t="shared" si="29"/>
        <v>14653.9</v>
      </c>
      <c r="G261" s="37">
        <f t="shared" si="30"/>
        <v>4835.7870000000003</v>
      </c>
      <c r="H261" s="36" cm="1">
        <f t="array" ref="H261">SUMPRODUCT((C261&gt;tier_floor)*((C261-tier_floor)*step)*margin_rate)</f>
        <v>3835.7869999999998</v>
      </c>
      <c r="I261" s="37">
        <f t="shared" si="31"/>
        <v>1000.0000000000005</v>
      </c>
      <c r="J261" s="38">
        <f t="shared" si="32"/>
        <v>2022</v>
      </c>
      <c r="K261" s="128">
        <f>(1+target)^($J261-(MIN(tbl_rep_mon[year])))</f>
        <v>1.1499999999999999</v>
      </c>
      <c r="L261" s="35">
        <f t="shared" si="33"/>
        <v>0.33</v>
      </c>
      <c r="M261" s="37">
        <f t="shared" si="34"/>
        <v>4835.7870000000003</v>
      </c>
    </row>
    <row r="262" spans="1:13" x14ac:dyDescent="0.4">
      <c r="A262" t="s">
        <v>6</v>
      </c>
      <c r="B262">
        <v>2</v>
      </c>
      <c r="C262" s="36">
        <v>51324.77</v>
      </c>
      <c r="D262" s="1">
        <v>44593</v>
      </c>
      <c r="E262" s="35">
        <f t="shared" si="28"/>
        <v>0.42</v>
      </c>
      <c r="F262" s="37">
        <f t="shared" si="29"/>
        <v>25662.384999999998</v>
      </c>
      <c r="G262" s="37">
        <f t="shared" si="30"/>
        <v>10778.2017</v>
      </c>
      <c r="H262" s="36" cm="1">
        <f t="array" ref="H262">SUMPRODUCT((C262&gt;tier_floor)*((C262-tier_floor)*step)*margin_rate)</f>
        <v>7528.2016999999996</v>
      </c>
      <c r="I262" s="37">
        <f t="shared" si="31"/>
        <v>3250</v>
      </c>
      <c r="J262" s="38">
        <f t="shared" si="32"/>
        <v>2022</v>
      </c>
      <c r="K262" s="128">
        <f>(1+target)^($J262-(MIN(tbl_rep_mon[year])))</f>
        <v>1.1499999999999999</v>
      </c>
      <c r="L262" s="35">
        <f t="shared" si="33"/>
        <v>0.33</v>
      </c>
      <c r="M262" s="37">
        <f t="shared" si="34"/>
        <v>8468.5870500000001</v>
      </c>
    </row>
    <row r="263" spans="1:13" x14ac:dyDescent="0.4">
      <c r="A263" t="s">
        <v>7</v>
      </c>
      <c r="B263">
        <v>4</v>
      </c>
      <c r="C263" s="36">
        <v>54741.88</v>
      </c>
      <c r="D263" s="1">
        <v>44593</v>
      </c>
      <c r="E263" s="35">
        <f t="shared" si="28"/>
        <v>0.42</v>
      </c>
      <c r="F263" s="37">
        <f t="shared" si="29"/>
        <v>27370.94</v>
      </c>
      <c r="G263" s="37">
        <f t="shared" si="30"/>
        <v>11495.7948</v>
      </c>
      <c r="H263" s="36" cm="1">
        <f t="array" ref="H263">SUMPRODUCT((C263&gt;tier_floor)*((C263-tier_floor)*step)*margin_rate)</f>
        <v>8245.7947999999997</v>
      </c>
      <c r="I263" s="37">
        <f t="shared" si="31"/>
        <v>3250</v>
      </c>
      <c r="J263" s="38">
        <f t="shared" si="32"/>
        <v>2022</v>
      </c>
      <c r="K263" s="128">
        <f>(1+target)^($J263-(MIN(tbl_rep_mon[year])))</f>
        <v>1.1499999999999999</v>
      </c>
      <c r="L263" s="35">
        <f t="shared" si="33"/>
        <v>0.33</v>
      </c>
      <c r="M263" s="37">
        <f t="shared" si="34"/>
        <v>9032.4102000000003</v>
      </c>
    </row>
    <row r="264" spans="1:13" x14ac:dyDescent="0.4">
      <c r="A264" t="s">
        <v>8</v>
      </c>
      <c r="B264">
        <v>4</v>
      </c>
      <c r="C264" s="36">
        <v>60842.98</v>
      </c>
      <c r="D264" s="1">
        <v>44593</v>
      </c>
      <c r="E264" s="35">
        <f t="shared" si="28"/>
        <v>0.42</v>
      </c>
      <c r="F264" s="37">
        <f t="shared" si="29"/>
        <v>30421.49</v>
      </c>
      <c r="G264" s="37">
        <f t="shared" si="30"/>
        <v>12777.025799999999</v>
      </c>
      <c r="H264" s="36" cm="1">
        <f t="array" ref="H264">SUMPRODUCT((C264&gt;tier_floor)*((C264-tier_floor)*step)*margin_rate)</f>
        <v>9527.0258000000013</v>
      </c>
      <c r="I264" s="37">
        <f t="shared" si="31"/>
        <v>3249.9999999999982</v>
      </c>
      <c r="J264" s="38">
        <f t="shared" si="32"/>
        <v>2022</v>
      </c>
      <c r="K264" s="128">
        <f>(1+target)^($J264-(MIN(tbl_rep_mon[year])))</f>
        <v>1.1499999999999999</v>
      </c>
      <c r="L264" s="35">
        <f t="shared" si="33"/>
        <v>0.42</v>
      </c>
      <c r="M264" s="37">
        <f t="shared" si="34"/>
        <v>12777.025799999999</v>
      </c>
    </row>
    <row r="265" spans="1:13" x14ac:dyDescent="0.4">
      <c r="A265" t="s">
        <v>10</v>
      </c>
      <c r="B265">
        <v>3</v>
      </c>
      <c r="C265" s="36">
        <v>76371.38</v>
      </c>
      <c r="D265" s="1">
        <v>44593</v>
      </c>
      <c r="E265" s="35">
        <f t="shared" si="28"/>
        <v>0.51</v>
      </c>
      <c r="F265" s="37">
        <f t="shared" si="29"/>
        <v>38185.69</v>
      </c>
      <c r="G265" s="37">
        <f t="shared" si="30"/>
        <v>19474.7019</v>
      </c>
      <c r="H265" s="36" cm="1">
        <f t="array" ref="H265">SUMPRODUCT((C265&gt;tier_floor)*((C265-tier_floor)*step)*margin_rate)</f>
        <v>12849.7019</v>
      </c>
      <c r="I265" s="37">
        <f t="shared" si="31"/>
        <v>6625</v>
      </c>
      <c r="J265" s="38">
        <f t="shared" si="32"/>
        <v>2022</v>
      </c>
      <c r="K265" s="128">
        <f>(1+target)^($J265-(MIN(tbl_rep_mon[year])))</f>
        <v>1.1499999999999999</v>
      </c>
      <c r="L265" s="35">
        <f t="shared" si="33"/>
        <v>0.42</v>
      </c>
      <c r="M265" s="37">
        <f t="shared" si="34"/>
        <v>16037.989800000001</v>
      </c>
    </row>
    <row r="266" spans="1:13" x14ac:dyDescent="0.4">
      <c r="A266" t="s">
        <v>12</v>
      </c>
      <c r="B266">
        <v>2</v>
      </c>
      <c r="C266" s="36">
        <v>70275.64</v>
      </c>
      <c r="D266" s="1">
        <v>44593</v>
      </c>
      <c r="E266" s="35">
        <f t="shared" si="28"/>
        <v>0.42</v>
      </c>
      <c r="F266" s="37">
        <f t="shared" si="29"/>
        <v>35137.82</v>
      </c>
      <c r="G266" s="37">
        <f t="shared" si="30"/>
        <v>14757.884399999999</v>
      </c>
      <c r="H266" s="36" cm="1">
        <f t="array" ref="H266">SUMPRODUCT((C266&gt;tier_floor)*((C266-tier_floor)*step)*margin_rate)</f>
        <v>11507.884400000001</v>
      </c>
      <c r="I266" s="37">
        <f t="shared" si="31"/>
        <v>3249.9999999999982</v>
      </c>
      <c r="J266" s="38">
        <f t="shared" si="32"/>
        <v>2022</v>
      </c>
      <c r="K266" s="128">
        <f>(1+target)^($J266-(MIN(tbl_rep_mon[year])))</f>
        <v>1.1499999999999999</v>
      </c>
      <c r="L266" s="35">
        <f t="shared" si="33"/>
        <v>0.42</v>
      </c>
      <c r="M266" s="37">
        <f t="shared" si="34"/>
        <v>14757.884399999999</v>
      </c>
    </row>
    <row r="267" spans="1:13" x14ac:dyDescent="0.4">
      <c r="A267" t="s">
        <v>15</v>
      </c>
      <c r="B267">
        <v>3</v>
      </c>
      <c r="C267" s="36">
        <v>45784.88</v>
      </c>
      <c r="D267" s="1">
        <v>44593</v>
      </c>
      <c r="E267" s="35">
        <f t="shared" si="28"/>
        <v>0.33</v>
      </c>
      <c r="F267" s="37">
        <f t="shared" si="29"/>
        <v>22892.44</v>
      </c>
      <c r="G267" s="37">
        <f t="shared" si="30"/>
        <v>7554.5051999999996</v>
      </c>
      <c r="H267" s="36" cm="1">
        <f t="array" ref="H267">SUMPRODUCT((C267&gt;tier_floor)*((C267-tier_floor)*step)*margin_rate)</f>
        <v>6554.5051999999996</v>
      </c>
      <c r="I267" s="37">
        <f t="shared" si="31"/>
        <v>1000</v>
      </c>
      <c r="J267" s="38">
        <f t="shared" si="32"/>
        <v>2022</v>
      </c>
      <c r="K267" s="128">
        <f>(1+target)^($J267-(MIN(tbl_rep_mon[year])))</f>
        <v>1.1499999999999999</v>
      </c>
      <c r="L267" s="35">
        <f t="shared" si="33"/>
        <v>0.33</v>
      </c>
      <c r="M267" s="37">
        <f t="shared" si="34"/>
        <v>7554.5051999999996</v>
      </c>
    </row>
    <row r="268" spans="1:13" x14ac:dyDescent="0.4">
      <c r="A268" t="s">
        <v>16</v>
      </c>
      <c r="B268">
        <v>3</v>
      </c>
      <c r="C268" s="36">
        <v>68980.759999999995</v>
      </c>
      <c r="D268" s="1">
        <v>44593</v>
      </c>
      <c r="E268" s="35">
        <f t="shared" si="28"/>
        <v>0.42</v>
      </c>
      <c r="F268" s="37">
        <f t="shared" si="29"/>
        <v>34490.379999999997</v>
      </c>
      <c r="G268" s="37">
        <f t="shared" si="30"/>
        <v>14485.959599999998</v>
      </c>
      <c r="H268" s="36" cm="1">
        <f t="array" ref="H268">SUMPRODUCT((C268&gt;tier_floor)*((C268-tier_floor)*step)*margin_rate)</f>
        <v>11235.959599999998</v>
      </c>
      <c r="I268" s="37">
        <f t="shared" si="31"/>
        <v>3250</v>
      </c>
      <c r="J268" s="38">
        <f t="shared" si="32"/>
        <v>2022</v>
      </c>
      <c r="K268" s="128">
        <f>(1+target)^($J268-(MIN(tbl_rep_mon[year])))</f>
        <v>1.1499999999999999</v>
      </c>
      <c r="L268" s="35">
        <f t="shared" si="33"/>
        <v>0.42</v>
      </c>
      <c r="M268" s="37">
        <f t="shared" si="34"/>
        <v>14485.959599999998</v>
      </c>
    </row>
    <row r="269" spans="1:13" x14ac:dyDescent="0.4">
      <c r="A269" t="s">
        <v>18</v>
      </c>
      <c r="B269">
        <v>3</v>
      </c>
      <c r="C269" s="36">
        <v>70420.75</v>
      </c>
      <c r="D269" s="1">
        <v>44593</v>
      </c>
      <c r="E269" s="35">
        <f t="shared" si="28"/>
        <v>0.42</v>
      </c>
      <c r="F269" s="37">
        <f t="shared" si="29"/>
        <v>35210.375</v>
      </c>
      <c r="G269" s="37">
        <f t="shared" si="30"/>
        <v>14788.3575</v>
      </c>
      <c r="H269" s="36" cm="1">
        <f t="array" ref="H269">SUMPRODUCT((C269&gt;tier_floor)*((C269-tier_floor)*step)*margin_rate)</f>
        <v>11538.3575</v>
      </c>
      <c r="I269" s="37">
        <f t="shared" si="31"/>
        <v>3250</v>
      </c>
      <c r="J269" s="38">
        <f t="shared" si="32"/>
        <v>2022</v>
      </c>
      <c r="K269" s="128">
        <f>(1+target)^($J269-(MIN(tbl_rep_mon[year])))</f>
        <v>1.1499999999999999</v>
      </c>
      <c r="L269" s="35">
        <f t="shared" si="33"/>
        <v>0.42</v>
      </c>
      <c r="M269" s="37">
        <f t="shared" si="34"/>
        <v>14788.3575</v>
      </c>
    </row>
    <row r="270" spans="1:13" x14ac:dyDescent="0.4">
      <c r="A270" t="s">
        <v>19</v>
      </c>
      <c r="B270">
        <v>4</v>
      </c>
      <c r="C270" s="36">
        <v>67953.87</v>
      </c>
      <c r="D270" s="1">
        <v>44593</v>
      </c>
      <c r="E270" s="35">
        <f t="shared" si="28"/>
        <v>0.42</v>
      </c>
      <c r="F270" s="37">
        <f t="shared" si="29"/>
        <v>33976.934999999998</v>
      </c>
      <c r="G270" s="37">
        <f t="shared" si="30"/>
        <v>14270.312699999999</v>
      </c>
      <c r="H270" s="36" cm="1">
        <f t="array" ref="H270">SUMPRODUCT((C270&gt;tier_floor)*((C270-tier_floor)*step)*margin_rate)</f>
        <v>11020.312699999999</v>
      </c>
      <c r="I270" s="37">
        <f t="shared" si="31"/>
        <v>3250</v>
      </c>
      <c r="J270" s="38">
        <f t="shared" si="32"/>
        <v>2022</v>
      </c>
      <c r="K270" s="128">
        <f>(1+target)^($J270-(MIN(tbl_rep_mon[year])))</f>
        <v>1.1499999999999999</v>
      </c>
      <c r="L270" s="35">
        <f t="shared" si="33"/>
        <v>0.42</v>
      </c>
      <c r="M270" s="37">
        <f t="shared" si="34"/>
        <v>14270.312699999999</v>
      </c>
    </row>
    <row r="271" spans="1:13" x14ac:dyDescent="0.4">
      <c r="A271" t="s">
        <v>20</v>
      </c>
      <c r="B271">
        <v>4</v>
      </c>
      <c r="C271" s="36">
        <v>51476.23</v>
      </c>
      <c r="D271" s="1">
        <v>44593</v>
      </c>
      <c r="E271" s="35">
        <f t="shared" si="28"/>
        <v>0.42</v>
      </c>
      <c r="F271" s="37">
        <f t="shared" si="29"/>
        <v>25738.115000000002</v>
      </c>
      <c r="G271" s="37">
        <f t="shared" si="30"/>
        <v>10810.0083</v>
      </c>
      <c r="H271" s="36" cm="1">
        <f t="array" ref="H271">SUMPRODUCT((C271&gt;tier_floor)*((C271-tier_floor)*step)*margin_rate)</f>
        <v>7560.0083000000013</v>
      </c>
      <c r="I271" s="37">
        <f t="shared" si="31"/>
        <v>3249.9999999999982</v>
      </c>
      <c r="J271" s="38">
        <f t="shared" si="32"/>
        <v>2022</v>
      </c>
      <c r="K271" s="128">
        <f>(1+target)^($J271-(MIN(tbl_rep_mon[year])))</f>
        <v>1.1499999999999999</v>
      </c>
      <c r="L271" s="35">
        <f t="shared" si="33"/>
        <v>0.33</v>
      </c>
      <c r="M271" s="37">
        <f t="shared" si="34"/>
        <v>8493.5779500000008</v>
      </c>
    </row>
    <row r="272" spans="1:13" x14ac:dyDescent="0.4">
      <c r="A272" t="s">
        <v>21</v>
      </c>
      <c r="B272">
        <v>4</v>
      </c>
      <c r="C272" s="36">
        <v>46635.45</v>
      </c>
      <c r="D272" s="1">
        <v>44593</v>
      </c>
      <c r="E272" s="35">
        <f t="shared" si="28"/>
        <v>0.33</v>
      </c>
      <c r="F272" s="37">
        <f t="shared" si="29"/>
        <v>23317.724999999999</v>
      </c>
      <c r="G272" s="37">
        <f t="shared" si="30"/>
        <v>7694.8492500000002</v>
      </c>
      <c r="H272" s="36" cm="1">
        <f t="array" ref="H272">SUMPRODUCT((C272&gt;tier_floor)*((C272-tier_floor)*step)*margin_rate)</f>
        <v>6694.8492499999993</v>
      </c>
      <c r="I272" s="37">
        <f t="shared" si="31"/>
        <v>1000.0000000000009</v>
      </c>
      <c r="J272" s="38">
        <f t="shared" si="32"/>
        <v>2022</v>
      </c>
      <c r="K272" s="128">
        <f>(1+target)^($J272-(MIN(tbl_rep_mon[year])))</f>
        <v>1.1499999999999999</v>
      </c>
      <c r="L272" s="35">
        <f t="shared" si="33"/>
        <v>0.33</v>
      </c>
      <c r="M272" s="37">
        <f t="shared" si="34"/>
        <v>7694.8492500000002</v>
      </c>
    </row>
    <row r="273" spans="1:13" x14ac:dyDescent="0.4">
      <c r="A273" t="s">
        <v>22</v>
      </c>
      <c r="B273">
        <v>4</v>
      </c>
      <c r="C273" s="36">
        <v>52000.05</v>
      </c>
      <c r="D273" s="1">
        <v>44593</v>
      </c>
      <c r="E273" s="35">
        <f t="shared" si="28"/>
        <v>0.42</v>
      </c>
      <c r="F273" s="37">
        <f t="shared" si="29"/>
        <v>26000.025000000001</v>
      </c>
      <c r="G273" s="37">
        <f t="shared" si="30"/>
        <v>10920.0105</v>
      </c>
      <c r="H273" s="36" cm="1">
        <f t="array" ref="H273">SUMPRODUCT((C273&gt;tier_floor)*((C273-tier_floor)*step)*margin_rate)</f>
        <v>7670.0105000000012</v>
      </c>
      <c r="I273" s="37">
        <f t="shared" si="31"/>
        <v>3249.9999999999991</v>
      </c>
      <c r="J273" s="38">
        <f t="shared" si="32"/>
        <v>2022</v>
      </c>
      <c r="K273" s="128">
        <f>(1+target)^($J273-(MIN(tbl_rep_mon[year])))</f>
        <v>1.1499999999999999</v>
      </c>
      <c r="L273" s="35">
        <f t="shared" si="33"/>
        <v>0.33</v>
      </c>
      <c r="M273" s="37">
        <f t="shared" si="34"/>
        <v>8580.0082500000008</v>
      </c>
    </row>
    <row r="274" spans="1:13" x14ac:dyDescent="0.4">
      <c r="A274" t="s">
        <v>23</v>
      </c>
      <c r="B274">
        <v>1</v>
      </c>
      <c r="C274" s="36">
        <v>91502.97</v>
      </c>
      <c r="D274" s="1">
        <v>44593</v>
      </c>
      <c r="E274" s="35">
        <f t="shared" si="28"/>
        <v>0.51</v>
      </c>
      <c r="F274" s="37">
        <f t="shared" si="29"/>
        <v>45751.485000000001</v>
      </c>
      <c r="G274" s="37">
        <f t="shared" si="30"/>
        <v>23333.25735</v>
      </c>
      <c r="H274" s="36" cm="1">
        <f t="array" ref="H274">SUMPRODUCT((C274&gt;tier_floor)*((C274-tier_floor)*step)*margin_rate)</f>
        <v>16708.25735</v>
      </c>
      <c r="I274" s="37">
        <f t="shared" si="31"/>
        <v>6625</v>
      </c>
      <c r="J274" s="38">
        <f t="shared" si="32"/>
        <v>2022</v>
      </c>
      <c r="K274" s="128">
        <f>(1+target)^($J274-(MIN(tbl_rep_mon[year])))</f>
        <v>1.1499999999999999</v>
      </c>
      <c r="L274" s="35">
        <f t="shared" si="33"/>
        <v>0.51</v>
      </c>
      <c r="M274" s="37">
        <f t="shared" si="34"/>
        <v>23333.25735</v>
      </c>
    </row>
    <row r="275" spans="1:13" x14ac:dyDescent="0.4">
      <c r="A275" t="s">
        <v>24</v>
      </c>
      <c r="B275">
        <v>3</v>
      </c>
      <c r="C275" s="36">
        <v>31785.71</v>
      </c>
      <c r="D275" s="1">
        <v>44593</v>
      </c>
      <c r="E275" s="35">
        <f t="shared" si="28"/>
        <v>0.33</v>
      </c>
      <c r="F275" s="37">
        <f t="shared" si="29"/>
        <v>15892.855</v>
      </c>
      <c r="G275" s="37">
        <f t="shared" si="30"/>
        <v>5244.6421499999997</v>
      </c>
      <c r="H275" s="36" cm="1">
        <f t="array" ref="H275">SUMPRODUCT((C275&gt;tier_floor)*((C275-tier_floor)*step)*margin_rate)</f>
        <v>4244.6421499999997</v>
      </c>
      <c r="I275" s="37">
        <f t="shared" si="31"/>
        <v>1000</v>
      </c>
      <c r="J275" s="38">
        <f t="shared" si="32"/>
        <v>2022</v>
      </c>
      <c r="K275" s="128">
        <f>(1+target)^($J275-(MIN(tbl_rep_mon[year])))</f>
        <v>1.1499999999999999</v>
      </c>
      <c r="L275" s="35">
        <f t="shared" si="33"/>
        <v>0.33</v>
      </c>
      <c r="M275" s="37">
        <f t="shared" si="34"/>
        <v>5244.6421499999997</v>
      </c>
    </row>
    <row r="276" spans="1:13" x14ac:dyDescent="0.4">
      <c r="A276" t="s">
        <v>25</v>
      </c>
      <c r="B276">
        <v>2</v>
      </c>
      <c r="C276" s="36">
        <v>78826.039999999994</v>
      </c>
      <c r="D276" s="1">
        <v>44593</v>
      </c>
      <c r="E276" s="35">
        <f t="shared" si="28"/>
        <v>0.51</v>
      </c>
      <c r="F276" s="37">
        <f t="shared" si="29"/>
        <v>39413.019999999997</v>
      </c>
      <c r="G276" s="37">
        <f t="shared" si="30"/>
        <v>20100.640199999998</v>
      </c>
      <c r="H276" s="36" cm="1">
        <f t="array" ref="H276">SUMPRODUCT((C276&gt;tier_floor)*((C276-tier_floor)*step)*margin_rate)</f>
        <v>13475.640199999998</v>
      </c>
      <c r="I276" s="37">
        <f t="shared" si="31"/>
        <v>6625</v>
      </c>
      <c r="J276" s="38">
        <f t="shared" si="32"/>
        <v>2022</v>
      </c>
      <c r="K276" s="128">
        <f>(1+target)^($J276-(MIN(tbl_rep_mon[year])))</f>
        <v>1.1499999999999999</v>
      </c>
      <c r="L276" s="35">
        <f t="shared" si="33"/>
        <v>0.42</v>
      </c>
      <c r="M276" s="37">
        <f t="shared" si="34"/>
        <v>16553.468399999998</v>
      </c>
    </row>
    <row r="277" spans="1:13" x14ac:dyDescent="0.4">
      <c r="A277" t="s">
        <v>26</v>
      </c>
      <c r="B277">
        <v>2</v>
      </c>
      <c r="C277" s="36">
        <v>58923.83</v>
      </c>
      <c r="D277" s="1">
        <v>44593</v>
      </c>
      <c r="E277" s="35">
        <f t="shared" si="28"/>
        <v>0.42</v>
      </c>
      <c r="F277" s="37">
        <f t="shared" si="29"/>
        <v>29461.915000000001</v>
      </c>
      <c r="G277" s="37">
        <f t="shared" si="30"/>
        <v>12374.004300000001</v>
      </c>
      <c r="H277" s="36" cm="1">
        <f t="array" ref="H277">SUMPRODUCT((C277&gt;tier_floor)*((C277-tier_floor)*step)*margin_rate)</f>
        <v>9124.0043000000005</v>
      </c>
      <c r="I277" s="37">
        <f t="shared" si="31"/>
        <v>3250</v>
      </c>
      <c r="J277" s="38">
        <f t="shared" si="32"/>
        <v>2022</v>
      </c>
      <c r="K277" s="128">
        <f>(1+target)^($J277-(MIN(tbl_rep_mon[year])))</f>
        <v>1.1499999999999999</v>
      </c>
      <c r="L277" s="35">
        <f t="shared" si="33"/>
        <v>0.42</v>
      </c>
      <c r="M277" s="37">
        <f t="shared" si="34"/>
        <v>12374.004300000001</v>
      </c>
    </row>
    <row r="278" spans="1:13" x14ac:dyDescent="0.4">
      <c r="A278" t="s">
        <v>27</v>
      </c>
      <c r="B278">
        <v>4</v>
      </c>
      <c r="C278" s="36">
        <v>61296.74</v>
      </c>
      <c r="D278" s="1">
        <v>44593</v>
      </c>
      <c r="E278" s="35">
        <f t="shared" si="28"/>
        <v>0.42</v>
      </c>
      <c r="F278" s="37">
        <f t="shared" si="29"/>
        <v>30648.37</v>
      </c>
      <c r="G278" s="37">
        <f t="shared" si="30"/>
        <v>12872.315399999999</v>
      </c>
      <c r="H278" s="36" cm="1">
        <f t="array" ref="H278">SUMPRODUCT((C278&gt;tier_floor)*((C278-tier_floor)*step)*margin_rate)</f>
        <v>9622.3153999999995</v>
      </c>
      <c r="I278" s="37">
        <f t="shared" si="31"/>
        <v>3250</v>
      </c>
      <c r="J278" s="38">
        <f t="shared" si="32"/>
        <v>2022</v>
      </c>
      <c r="K278" s="128">
        <f>(1+target)^($J278-(MIN(tbl_rep_mon[year])))</f>
        <v>1.1499999999999999</v>
      </c>
      <c r="L278" s="35">
        <f t="shared" si="33"/>
        <v>0.42</v>
      </c>
      <c r="M278" s="37">
        <f t="shared" si="34"/>
        <v>12872.315399999999</v>
      </c>
    </row>
    <row r="279" spans="1:13" x14ac:dyDescent="0.4">
      <c r="A279" t="s">
        <v>28</v>
      </c>
      <c r="B279">
        <v>2</v>
      </c>
      <c r="C279" s="36">
        <v>57888.34</v>
      </c>
      <c r="D279" s="1">
        <v>44593</v>
      </c>
      <c r="E279" s="35">
        <f t="shared" si="28"/>
        <v>0.42</v>
      </c>
      <c r="F279" s="37">
        <f t="shared" si="29"/>
        <v>28944.17</v>
      </c>
      <c r="G279" s="37">
        <f t="shared" si="30"/>
        <v>12156.551399999998</v>
      </c>
      <c r="H279" s="36" cm="1">
        <f t="array" ref="H279">SUMPRODUCT((C279&gt;tier_floor)*((C279-tier_floor)*step)*margin_rate)</f>
        <v>8906.5514000000003</v>
      </c>
      <c r="I279" s="37">
        <f t="shared" si="31"/>
        <v>3249.9999999999982</v>
      </c>
      <c r="J279" s="38">
        <f t="shared" si="32"/>
        <v>2022</v>
      </c>
      <c r="K279" s="128">
        <f>(1+target)^($J279-(MIN(tbl_rep_mon[year])))</f>
        <v>1.1499999999999999</v>
      </c>
      <c r="L279" s="35">
        <f t="shared" si="33"/>
        <v>0.42</v>
      </c>
      <c r="M279" s="37">
        <f t="shared" si="34"/>
        <v>12156.551399999998</v>
      </c>
    </row>
    <row r="280" spans="1:13" x14ac:dyDescent="0.4">
      <c r="A280" t="s">
        <v>29</v>
      </c>
      <c r="B280">
        <v>1</v>
      </c>
      <c r="C280" s="36">
        <v>86029.759999999995</v>
      </c>
      <c r="D280" s="1">
        <v>44593</v>
      </c>
      <c r="E280" s="35">
        <f t="shared" si="28"/>
        <v>0.51</v>
      </c>
      <c r="F280" s="37">
        <f t="shared" si="29"/>
        <v>43014.879999999997</v>
      </c>
      <c r="G280" s="37">
        <f t="shared" si="30"/>
        <v>21937.588799999998</v>
      </c>
      <c r="H280" s="36" cm="1">
        <f t="array" ref="H280">SUMPRODUCT((C280&gt;tier_floor)*((C280-tier_floor)*step)*margin_rate)</f>
        <v>15312.5888</v>
      </c>
      <c r="I280" s="37">
        <f t="shared" si="31"/>
        <v>6624.9999999999982</v>
      </c>
      <c r="J280" s="38">
        <f t="shared" si="32"/>
        <v>2022</v>
      </c>
      <c r="K280" s="128">
        <f>(1+target)^($J280-(MIN(tbl_rep_mon[year])))</f>
        <v>1.1499999999999999</v>
      </c>
      <c r="L280" s="35">
        <f t="shared" si="33"/>
        <v>0.42</v>
      </c>
      <c r="M280" s="37">
        <f t="shared" si="34"/>
        <v>18066.249599999999</v>
      </c>
    </row>
    <row r="281" spans="1:13" x14ac:dyDescent="0.4">
      <c r="A281" t="s">
        <v>30</v>
      </c>
      <c r="B281">
        <v>4</v>
      </c>
      <c r="C281" s="36">
        <v>35608</v>
      </c>
      <c r="D281" s="1">
        <v>44593</v>
      </c>
      <c r="E281" s="35">
        <f t="shared" si="28"/>
        <v>0.33</v>
      </c>
      <c r="F281" s="37">
        <f t="shared" si="29"/>
        <v>17804</v>
      </c>
      <c r="G281" s="37">
        <f t="shared" si="30"/>
        <v>5875.3200000000006</v>
      </c>
      <c r="H281" s="36" cm="1">
        <f t="array" ref="H281">SUMPRODUCT((C281&gt;tier_floor)*((C281-tier_floor)*step)*margin_rate)</f>
        <v>4875.32</v>
      </c>
      <c r="I281" s="37">
        <f t="shared" si="31"/>
        <v>1000.0000000000009</v>
      </c>
      <c r="J281" s="38">
        <f t="shared" si="32"/>
        <v>2022</v>
      </c>
      <c r="K281" s="128">
        <f>(1+target)^($J281-(MIN(tbl_rep_mon[year])))</f>
        <v>1.1499999999999999</v>
      </c>
      <c r="L281" s="35">
        <f t="shared" si="33"/>
        <v>0.33</v>
      </c>
      <c r="M281" s="37">
        <f t="shared" si="34"/>
        <v>5875.3200000000006</v>
      </c>
    </row>
    <row r="282" spans="1:13" x14ac:dyDescent="0.4">
      <c r="A282" t="s">
        <v>6</v>
      </c>
      <c r="B282">
        <v>2</v>
      </c>
      <c r="C282" s="36">
        <v>58936.54</v>
      </c>
      <c r="D282" s="1">
        <v>44621</v>
      </c>
      <c r="E282" s="35">
        <f t="shared" si="28"/>
        <v>0.42</v>
      </c>
      <c r="F282" s="37">
        <f t="shared" si="29"/>
        <v>29468.27</v>
      </c>
      <c r="G282" s="37">
        <f t="shared" si="30"/>
        <v>12376.6734</v>
      </c>
      <c r="H282" s="36" cm="1">
        <f t="array" ref="H282">SUMPRODUCT((C282&gt;tier_floor)*((C282-tier_floor)*step)*margin_rate)</f>
        <v>9126.6733999999997</v>
      </c>
      <c r="I282" s="37">
        <f t="shared" si="31"/>
        <v>3250</v>
      </c>
      <c r="J282" s="38">
        <f t="shared" si="32"/>
        <v>2022</v>
      </c>
      <c r="K282" s="128">
        <f>(1+target)^($J282-(MIN(tbl_rep_mon[year])))</f>
        <v>1.1499999999999999</v>
      </c>
      <c r="L282" s="35">
        <f t="shared" si="33"/>
        <v>0.42</v>
      </c>
      <c r="M282" s="37">
        <f t="shared" si="34"/>
        <v>12376.6734</v>
      </c>
    </row>
    <row r="283" spans="1:13" x14ac:dyDescent="0.4">
      <c r="A283" t="s">
        <v>7</v>
      </c>
      <c r="B283">
        <v>4</v>
      </c>
      <c r="C283" s="36">
        <v>54873.91</v>
      </c>
      <c r="D283" s="1">
        <v>44621</v>
      </c>
      <c r="E283" s="35">
        <f t="shared" si="28"/>
        <v>0.42</v>
      </c>
      <c r="F283" s="37">
        <f t="shared" si="29"/>
        <v>27436.955000000002</v>
      </c>
      <c r="G283" s="37">
        <f t="shared" si="30"/>
        <v>11523.5211</v>
      </c>
      <c r="H283" s="36" cm="1">
        <f t="array" ref="H283">SUMPRODUCT((C283&gt;tier_floor)*((C283-tier_floor)*step)*margin_rate)</f>
        <v>8273.5211000000018</v>
      </c>
      <c r="I283" s="37">
        <f t="shared" si="31"/>
        <v>3249.9999999999982</v>
      </c>
      <c r="J283" s="38">
        <f t="shared" si="32"/>
        <v>2022</v>
      </c>
      <c r="K283" s="128">
        <f>(1+target)^($J283-(MIN(tbl_rep_mon[year])))</f>
        <v>1.1499999999999999</v>
      </c>
      <c r="L283" s="35">
        <f t="shared" si="33"/>
        <v>0.33</v>
      </c>
      <c r="M283" s="37">
        <f t="shared" si="34"/>
        <v>9054.1951500000014</v>
      </c>
    </row>
    <row r="284" spans="1:13" x14ac:dyDescent="0.4">
      <c r="A284" t="s">
        <v>8</v>
      </c>
      <c r="B284">
        <v>4</v>
      </c>
      <c r="C284" s="36">
        <v>54198.26</v>
      </c>
      <c r="D284" s="1">
        <v>44621</v>
      </c>
      <c r="E284" s="35">
        <f t="shared" si="28"/>
        <v>0.42</v>
      </c>
      <c r="F284" s="37">
        <f t="shared" si="29"/>
        <v>27099.13</v>
      </c>
      <c r="G284" s="37">
        <f t="shared" si="30"/>
        <v>11381.634599999999</v>
      </c>
      <c r="H284" s="36" cm="1">
        <f t="array" ref="H284">SUMPRODUCT((C284&gt;tier_floor)*((C284-tier_floor)*step)*margin_rate)</f>
        <v>8131.6346000000003</v>
      </c>
      <c r="I284" s="37">
        <f t="shared" si="31"/>
        <v>3249.9999999999991</v>
      </c>
      <c r="J284" s="38">
        <f t="shared" si="32"/>
        <v>2022</v>
      </c>
      <c r="K284" s="128">
        <f>(1+target)^($J284-(MIN(tbl_rep_mon[year])))</f>
        <v>1.1499999999999999</v>
      </c>
      <c r="L284" s="35">
        <f t="shared" si="33"/>
        <v>0.33</v>
      </c>
      <c r="M284" s="37">
        <f t="shared" si="34"/>
        <v>8942.7129000000004</v>
      </c>
    </row>
    <row r="285" spans="1:13" x14ac:dyDescent="0.4">
      <c r="A285" t="s">
        <v>10</v>
      </c>
      <c r="B285">
        <v>3</v>
      </c>
      <c r="C285" s="36">
        <v>85602.23</v>
      </c>
      <c r="D285" s="1">
        <v>44621</v>
      </c>
      <c r="E285" s="35">
        <f t="shared" si="28"/>
        <v>0.51</v>
      </c>
      <c r="F285" s="37">
        <f t="shared" si="29"/>
        <v>42801.114999999998</v>
      </c>
      <c r="G285" s="37">
        <f t="shared" si="30"/>
        <v>21828.568650000001</v>
      </c>
      <c r="H285" s="36" cm="1">
        <f t="array" ref="H285">SUMPRODUCT((C285&gt;tier_floor)*((C285-tier_floor)*step)*margin_rate)</f>
        <v>15203.568649999999</v>
      </c>
      <c r="I285" s="37">
        <f t="shared" si="31"/>
        <v>6625.0000000000018</v>
      </c>
      <c r="J285" s="38">
        <f t="shared" si="32"/>
        <v>2022</v>
      </c>
      <c r="K285" s="128">
        <f>(1+target)^($J285-(MIN(tbl_rep_mon[year])))</f>
        <v>1.1499999999999999</v>
      </c>
      <c r="L285" s="35">
        <f t="shared" si="33"/>
        <v>0.42</v>
      </c>
      <c r="M285" s="37">
        <f t="shared" si="34"/>
        <v>17976.468299999997</v>
      </c>
    </row>
    <row r="286" spans="1:13" x14ac:dyDescent="0.4">
      <c r="A286" t="s">
        <v>12</v>
      </c>
      <c r="B286">
        <v>2</v>
      </c>
      <c r="C286" s="36">
        <v>70371.009999999995</v>
      </c>
      <c r="D286" s="1">
        <v>44621</v>
      </c>
      <c r="E286" s="35">
        <f t="shared" si="28"/>
        <v>0.42</v>
      </c>
      <c r="F286" s="37">
        <f t="shared" si="29"/>
        <v>35185.504999999997</v>
      </c>
      <c r="G286" s="37">
        <f t="shared" si="30"/>
        <v>14777.912099999998</v>
      </c>
      <c r="H286" s="36" cm="1">
        <f t="array" ref="H286">SUMPRODUCT((C286&gt;tier_floor)*((C286-tier_floor)*step)*margin_rate)</f>
        <v>11527.912099999998</v>
      </c>
      <c r="I286" s="37">
        <f t="shared" si="31"/>
        <v>3250</v>
      </c>
      <c r="J286" s="38">
        <f t="shared" si="32"/>
        <v>2022</v>
      </c>
      <c r="K286" s="128">
        <f>(1+target)^($J286-(MIN(tbl_rep_mon[year])))</f>
        <v>1.1499999999999999</v>
      </c>
      <c r="L286" s="35">
        <f t="shared" si="33"/>
        <v>0.42</v>
      </c>
      <c r="M286" s="37">
        <f t="shared" si="34"/>
        <v>14777.912099999998</v>
      </c>
    </row>
    <row r="287" spans="1:13" x14ac:dyDescent="0.4">
      <c r="A287" t="s">
        <v>15</v>
      </c>
      <c r="B287">
        <v>3</v>
      </c>
      <c r="C287" s="36">
        <v>74902.66</v>
      </c>
      <c r="D287" s="1">
        <v>44621</v>
      </c>
      <c r="E287" s="35">
        <f t="shared" si="28"/>
        <v>0.42</v>
      </c>
      <c r="F287" s="37">
        <f t="shared" si="29"/>
        <v>37451.33</v>
      </c>
      <c r="G287" s="37">
        <f t="shared" si="30"/>
        <v>15729.5586</v>
      </c>
      <c r="H287" s="36" cm="1">
        <f t="array" ref="H287">SUMPRODUCT((C287&gt;tier_floor)*((C287-tier_floor)*step)*margin_rate)</f>
        <v>12479.5586</v>
      </c>
      <c r="I287" s="37">
        <f t="shared" si="31"/>
        <v>3250</v>
      </c>
      <c r="J287" s="38">
        <f t="shared" si="32"/>
        <v>2022</v>
      </c>
      <c r="K287" s="128">
        <f>(1+target)^($J287-(MIN(tbl_rep_mon[year])))</f>
        <v>1.1499999999999999</v>
      </c>
      <c r="L287" s="35">
        <f t="shared" si="33"/>
        <v>0.42</v>
      </c>
      <c r="M287" s="37">
        <f t="shared" si="34"/>
        <v>15729.5586</v>
      </c>
    </row>
    <row r="288" spans="1:13" x14ac:dyDescent="0.4">
      <c r="A288" t="s">
        <v>16</v>
      </c>
      <c r="B288">
        <v>3</v>
      </c>
      <c r="C288" s="36">
        <v>78148.929999999993</v>
      </c>
      <c r="D288" s="1">
        <v>44621</v>
      </c>
      <c r="E288" s="35">
        <f t="shared" si="28"/>
        <v>0.51</v>
      </c>
      <c r="F288" s="37">
        <f t="shared" si="29"/>
        <v>39074.464999999997</v>
      </c>
      <c r="G288" s="37">
        <f t="shared" si="30"/>
        <v>19927.977149999999</v>
      </c>
      <c r="H288" s="36" cm="1">
        <f t="array" ref="H288">SUMPRODUCT((C288&gt;tier_floor)*((C288-tier_floor)*step)*margin_rate)</f>
        <v>13302.977149999999</v>
      </c>
      <c r="I288" s="37">
        <f t="shared" si="31"/>
        <v>6625</v>
      </c>
      <c r="J288" s="38">
        <f t="shared" si="32"/>
        <v>2022</v>
      </c>
      <c r="K288" s="128">
        <f>(1+target)^($J288-(MIN(tbl_rep_mon[year])))</f>
        <v>1.1499999999999999</v>
      </c>
      <c r="L288" s="35">
        <f t="shared" si="33"/>
        <v>0.42</v>
      </c>
      <c r="M288" s="37">
        <f t="shared" si="34"/>
        <v>16411.275299999998</v>
      </c>
    </row>
    <row r="289" spans="1:13" x14ac:dyDescent="0.4">
      <c r="A289" t="s">
        <v>18</v>
      </c>
      <c r="B289">
        <v>3</v>
      </c>
      <c r="C289" s="36">
        <v>59438.97</v>
      </c>
      <c r="D289" s="1">
        <v>44621</v>
      </c>
      <c r="E289" s="35">
        <f t="shared" si="28"/>
        <v>0.42</v>
      </c>
      <c r="F289" s="37">
        <f t="shared" si="29"/>
        <v>29719.485000000001</v>
      </c>
      <c r="G289" s="37">
        <f t="shared" si="30"/>
        <v>12482.1837</v>
      </c>
      <c r="H289" s="36" cm="1">
        <f t="array" ref="H289">SUMPRODUCT((C289&gt;tier_floor)*((C289-tier_floor)*step)*margin_rate)</f>
        <v>9232.1837000000014</v>
      </c>
      <c r="I289" s="37">
        <f t="shared" si="31"/>
        <v>3249.9999999999982</v>
      </c>
      <c r="J289" s="38">
        <f t="shared" si="32"/>
        <v>2022</v>
      </c>
      <c r="K289" s="128">
        <f>(1+target)^($J289-(MIN(tbl_rep_mon[year])))</f>
        <v>1.1499999999999999</v>
      </c>
      <c r="L289" s="35">
        <f t="shared" si="33"/>
        <v>0.42</v>
      </c>
      <c r="M289" s="37">
        <f t="shared" si="34"/>
        <v>12482.1837</v>
      </c>
    </row>
    <row r="290" spans="1:13" x14ac:dyDescent="0.4">
      <c r="A290" t="s">
        <v>19</v>
      </c>
      <c r="B290">
        <v>4</v>
      </c>
      <c r="C290" s="36">
        <v>50100.33</v>
      </c>
      <c r="D290" s="1">
        <v>44621</v>
      </c>
      <c r="E290" s="35">
        <f t="shared" si="28"/>
        <v>0.42</v>
      </c>
      <c r="F290" s="37">
        <f t="shared" si="29"/>
        <v>25050.165000000001</v>
      </c>
      <c r="G290" s="37">
        <f t="shared" si="30"/>
        <v>10521.069299999999</v>
      </c>
      <c r="H290" s="36" cm="1">
        <f t="array" ref="H290">SUMPRODUCT((C290&gt;tier_floor)*((C290-tier_floor)*step)*margin_rate)</f>
        <v>7271.069300000001</v>
      </c>
      <c r="I290" s="37">
        <f t="shared" si="31"/>
        <v>3249.9999999999982</v>
      </c>
      <c r="J290" s="38">
        <f t="shared" si="32"/>
        <v>2022</v>
      </c>
      <c r="K290" s="128">
        <f>(1+target)^($J290-(MIN(tbl_rep_mon[year])))</f>
        <v>1.1499999999999999</v>
      </c>
      <c r="L290" s="35">
        <f t="shared" si="33"/>
        <v>0.33</v>
      </c>
      <c r="M290" s="37">
        <f t="shared" si="34"/>
        <v>8266.5544500000015</v>
      </c>
    </row>
    <row r="291" spans="1:13" x14ac:dyDescent="0.4">
      <c r="A291" t="s">
        <v>22</v>
      </c>
      <c r="B291">
        <v>4</v>
      </c>
      <c r="C291" s="36">
        <v>49154.16</v>
      </c>
      <c r="D291" s="1">
        <v>44621</v>
      </c>
      <c r="E291" s="35">
        <f t="shared" si="28"/>
        <v>0.33</v>
      </c>
      <c r="F291" s="37">
        <f t="shared" si="29"/>
        <v>24577.08</v>
      </c>
      <c r="G291" s="37">
        <f t="shared" si="30"/>
        <v>8110.4364000000005</v>
      </c>
      <c r="H291" s="36" cm="1">
        <f t="array" ref="H291">SUMPRODUCT((C291&gt;tier_floor)*((C291-tier_floor)*step)*margin_rate)</f>
        <v>7110.4364000000005</v>
      </c>
      <c r="I291" s="37">
        <f t="shared" si="31"/>
        <v>1000</v>
      </c>
      <c r="J291" s="38">
        <f t="shared" si="32"/>
        <v>2022</v>
      </c>
      <c r="K291" s="128">
        <f>(1+target)^($J291-(MIN(tbl_rep_mon[year])))</f>
        <v>1.1499999999999999</v>
      </c>
      <c r="L291" s="35">
        <f t="shared" si="33"/>
        <v>0.33</v>
      </c>
      <c r="M291" s="37">
        <f t="shared" si="34"/>
        <v>8110.4364000000005</v>
      </c>
    </row>
    <row r="292" spans="1:13" x14ac:dyDescent="0.4">
      <c r="A292" t="s">
        <v>23</v>
      </c>
      <c r="B292">
        <v>1</v>
      </c>
      <c r="C292" s="36">
        <v>104693.56</v>
      </c>
      <c r="D292" s="1">
        <v>44621</v>
      </c>
      <c r="E292" s="35">
        <f t="shared" si="28"/>
        <v>0.6</v>
      </c>
      <c r="F292" s="37">
        <f t="shared" si="29"/>
        <v>52346.78</v>
      </c>
      <c r="G292" s="37">
        <f t="shared" si="30"/>
        <v>31408.067999999999</v>
      </c>
      <c r="H292" s="36" cm="1">
        <f t="array" ref="H292">SUMPRODUCT((C292&gt;tier_floor)*((C292-tier_floor)*step)*margin_rate)</f>
        <v>20283.068000000003</v>
      </c>
      <c r="I292" s="37">
        <f t="shared" si="31"/>
        <v>11124.999999999996</v>
      </c>
      <c r="J292" s="38">
        <f t="shared" si="32"/>
        <v>2022</v>
      </c>
      <c r="K292" s="128">
        <f>(1+target)^($J292-(MIN(tbl_rep_mon[year])))</f>
        <v>1.1499999999999999</v>
      </c>
      <c r="L292" s="35">
        <f t="shared" si="33"/>
        <v>0.51</v>
      </c>
      <c r="M292" s="37">
        <f t="shared" si="34"/>
        <v>26696.857800000002</v>
      </c>
    </row>
    <row r="293" spans="1:13" x14ac:dyDescent="0.4">
      <c r="A293" t="s">
        <v>24</v>
      </c>
      <c r="B293">
        <v>3</v>
      </c>
      <c r="C293" s="36">
        <v>63050.76</v>
      </c>
      <c r="D293" s="1">
        <v>44621</v>
      </c>
      <c r="E293" s="35">
        <f t="shared" si="28"/>
        <v>0.42</v>
      </c>
      <c r="F293" s="37">
        <f t="shared" si="29"/>
        <v>31525.38</v>
      </c>
      <c r="G293" s="37">
        <f t="shared" si="30"/>
        <v>13240.659599999999</v>
      </c>
      <c r="H293" s="36" cm="1">
        <f t="array" ref="H293">SUMPRODUCT((C293&gt;tier_floor)*((C293-tier_floor)*step)*margin_rate)</f>
        <v>9990.6596000000009</v>
      </c>
      <c r="I293" s="37">
        <f t="shared" si="31"/>
        <v>3249.9999999999982</v>
      </c>
      <c r="J293" s="38">
        <f t="shared" si="32"/>
        <v>2022</v>
      </c>
      <c r="K293" s="128">
        <f>(1+target)^($J293-(MIN(tbl_rep_mon[year])))</f>
        <v>1.1499999999999999</v>
      </c>
      <c r="L293" s="35">
        <f t="shared" si="33"/>
        <v>0.42</v>
      </c>
      <c r="M293" s="37">
        <f t="shared" si="34"/>
        <v>13240.659599999999</v>
      </c>
    </row>
    <row r="294" spans="1:13" x14ac:dyDescent="0.4">
      <c r="A294" t="s">
        <v>25</v>
      </c>
      <c r="B294">
        <v>2</v>
      </c>
      <c r="C294" s="36">
        <v>77359.44</v>
      </c>
      <c r="D294" s="1">
        <v>44621</v>
      </c>
      <c r="E294" s="35">
        <f t="shared" si="28"/>
        <v>0.51</v>
      </c>
      <c r="F294" s="37">
        <f t="shared" si="29"/>
        <v>38679.72</v>
      </c>
      <c r="G294" s="37">
        <f t="shared" si="30"/>
        <v>19726.657200000001</v>
      </c>
      <c r="H294" s="36" cm="1">
        <f t="array" ref="H294">SUMPRODUCT((C294&gt;tier_floor)*((C294-tier_floor)*step)*margin_rate)</f>
        <v>13101.657200000001</v>
      </c>
      <c r="I294" s="37">
        <f t="shared" si="31"/>
        <v>6625</v>
      </c>
      <c r="J294" s="38">
        <f t="shared" si="32"/>
        <v>2022</v>
      </c>
      <c r="K294" s="128">
        <f>(1+target)^($J294-(MIN(tbl_rep_mon[year])))</f>
        <v>1.1499999999999999</v>
      </c>
      <c r="L294" s="35">
        <f t="shared" si="33"/>
        <v>0.42</v>
      </c>
      <c r="M294" s="37">
        <f t="shared" si="34"/>
        <v>16245.482400000001</v>
      </c>
    </row>
    <row r="295" spans="1:13" x14ac:dyDescent="0.4">
      <c r="A295" t="s">
        <v>26</v>
      </c>
      <c r="B295">
        <v>2</v>
      </c>
      <c r="C295" s="36">
        <v>63315.76</v>
      </c>
      <c r="D295" s="1">
        <v>44621</v>
      </c>
      <c r="E295" s="35">
        <f t="shared" si="28"/>
        <v>0.42</v>
      </c>
      <c r="F295" s="37">
        <f t="shared" si="29"/>
        <v>31657.88</v>
      </c>
      <c r="G295" s="37">
        <f t="shared" si="30"/>
        <v>13296.309600000001</v>
      </c>
      <c r="H295" s="36" cm="1">
        <f t="array" ref="H295">SUMPRODUCT((C295&gt;tier_floor)*((C295-tier_floor)*step)*margin_rate)</f>
        <v>10046.309600000001</v>
      </c>
      <c r="I295" s="37">
        <f t="shared" si="31"/>
        <v>3250</v>
      </c>
      <c r="J295" s="38">
        <f t="shared" si="32"/>
        <v>2022</v>
      </c>
      <c r="K295" s="128">
        <f>(1+target)^($J295-(MIN(tbl_rep_mon[year])))</f>
        <v>1.1499999999999999</v>
      </c>
      <c r="L295" s="35">
        <f t="shared" si="33"/>
        <v>0.42</v>
      </c>
      <c r="M295" s="37">
        <f t="shared" si="34"/>
        <v>13296.309600000001</v>
      </c>
    </row>
    <row r="296" spans="1:13" x14ac:dyDescent="0.4">
      <c r="A296" t="s">
        <v>27</v>
      </c>
      <c r="B296">
        <v>4</v>
      </c>
      <c r="C296" s="36">
        <v>65568.070000000007</v>
      </c>
      <c r="D296" s="1">
        <v>44621</v>
      </c>
      <c r="E296" s="35">
        <f t="shared" si="28"/>
        <v>0.42</v>
      </c>
      <c r="F296" s="37">
        <f t="shared" si="29"/>
        <v>32784.035000000003</v>
      </c>
      <c r="G296" s="37">
        <f t="shared" si="30"/>
        <v>13769.2947</v>
      </c>
      <c r="H296" s="36" cm="1">
        <f t="array" ref="H296">SUMPRODUCT((C296&gt;tier_floor)*((C296-tier_floor)*step)*margin_rate)</f>
        <v>10519.294700000002</v>
      </c>
      <c r="I296" s="37">
        <f t="shared" si="31"/>
        <v>3249.9999999999982</v>
      </c>
      <c r="J296" s="38">
        <f t="shared" si="32"/>
        <v>2022</v>
      </c>
      <c r="K296" s="128">
        <f>(1+target)^($J296-(MIN(tbl_rep_mon[year])))</f>
        <v>1.1499999999999999</v>
      </c>
      <c r="L296" s="35">
        <f t="shared" si="33"/>
        <v>0.42</v>
      </c>
      <c r="M296" s="37">
        <f t="shared" si="34"/>
        <v>13769.2947</v>
      </c>
    </row>
    <row r="297" spans="1:13" x14ac:dyDescent="0.4">
      <c r="A297" t="s">
        <v>28</v>
      </c>
      <c r="B297">
        <v>2</v>
      </c>
      <c r="C297" s="36">
        <v>53830.77</v>
      </c>
      <c r="D297" s="1">
        <v>44621</v>
      </c>
      <c r="E297" s="35">
        <f t="shared" si="28"/>
        <v>0.42</v>
      </c>
      <c r="F297" s="37">
        <f t="shared" si="29"/>
        <v>26915.384999999998</v>
      </c>
      <c r="G297" s="37">
        <f t="shared" si="30"/>
        <v>11304.461699999998</v>
      </c>
      <c r="H297" s="36" cm="1">
        <f t="array" ref="H297">SUMPRODUCT((C297&gt;tier_floor)*((C297-tier_floor)*step)*margin_rate)</f>
        <v>8054.4616999999998</v>
      </c>
      <c r="I297" s="37">
        <f t="shared" si="31"/>
        <v>3249.9999999999982</v>
      </c>
      <c r="J297" s="38">
        <f t="shared" si="32"/>
        <v>2022</v>
      </c>
      <c r="K297" s="128">
        <f>(1+target)^($J297-(MIN(tbl_rep_mon[year])))</f>
        <v>1.1499999999999999</v>
      </c>
      <c r="L297" s="35">
        <f t="shared" si="33"/>
        <v>0.33</v>
      </c>
      <c r="M297" s="37">
        <f t="shared" si="34"/>
        <v>8882.0770499999999</v>
      </c>
    </row>
    <row r="298" spans="1:13" x14ac:dyDescent="0.4">
      <c r="A298" t="s">
        <v>29</v>
      </c>
      <c r="B298">
        <v>1</v>
      </c>
      <c r="C298" s="36">
        <v>70479.179999999993</v>
      </c>
      <c r="D298" s="1">
        <v>44621</v>
      </c>
      <c r="E298" s="35">
        <f t="shared" si="28"/>
        <v>0.42</v>
      </c>
      <c r="F298" s="37">
        <f t="shared" si="29"/>
        <v>35239.589999999997</v>
      </c>
      <c r="G298" s="37">
        <f t="shared" si="30"/>
        <v>14800.627799999998</v>
      </c>
      <c r="H298" s="36" cm="1">
        <f t="array" ref="H298">SUMPRODUCT((C298&gt;tier_floor)*((C298-tier_floor)*step)*margin_rate)</f>
        <v>11550.627799999998</v>
      </c>
      <c r="I298" s="37">
        <f t="shared" si="31"/>
        <v>3250</v>
      </c>
      <c r="J298" s="38">
        <f t="shared" si="32"/>
        <v>2022</v>
      </c>
      <c r="K298" s="128">
        <f>(1+target)^($J298-(MIN(tbl_rep_mon[year])))</f>
        <v>1.1499999999999999</v>
      </c>
      <c r="L298" s="35">
        <f t="shared" si="33"/>
        <v>0.42</v>
      </c>
      <c r="M298" s="37">
        <f t="shared" si="34"/>
        <v>14800.627799999998</v>
      </c>
    </row>
    <row r="299" spans="1:13" x14ac:dyDescent="0.4">
      <c r="A299" t="s">
        <v>30</v>
      </c>
      <c r="B299">
        <v>4</v>
      </c>
      <c r="C299" s="36">
        <v>49681.95</v>
      </c>
      <c r="D299" s="1">
        <v>44621</v>
      </c>
      <c r="E299" s="35">
        <f t="shared" si="28"/>
        <v>0.33</v>
      </c>
      <c r="F299" s="37">
        <f t="shared" si="29"/>
        <v>24840.974999999999</v>
      </c>
      <c r="G299" s="37">
        <f t="shared" si="30"/>
        <v>8197.5217499999999</v>
      </c>
      <c r="H299" s="36" cm="1">
        <f t="array" ref="H299">SUMPRODUCT((C299&gt;tier_floor)*((C299-tier_floor)*step)*margin_rate)</f>
        <v>7197.5217499999999</v>
      </c>
      <c r="I299" s="37">
        <f t="shared" si="31"/>
        <v>1000</v>
      </c>
      <c r="J299" s="38">
        <f t="shared" si="32"/>
        <v>2022</v>
      </c>
      <c r="K299" s="128">
        <f>(1+target)^($J299-(MIN(tbl_rep_mon[year])))</f>
        <v>1.1499999999999999</v>
      </c>
      <c r="L299" s="35">
        <f t="shared" si="33"/>
        <v>0.33</v>
      </c>
      <c r="M299" s="37">
        <f t="shared" si="34"/>
        <v>8197.5217499999999</v>
      </c>
    </row>
    <row r="300" spans="1:13" x14ac:dyDescent="0.4">
      <c r="A300" t="s">
        <v>31</v>
      </c>
      <c r="B300">
        <v>4</v>
      </c>
      <c r="C300" s="36">
        <v>2941.38</v>
      </c>
      <c r="D300" s="1">
        <v>44621</v>
      </c>
      <c r="E300" s="35">
        <f t="shared" si="28"/>
        <v>0.25</v>
      </c>
      <c r="F300" s="37">
        <f t="shared" si="29"/>
        <v>1470.69</v>
      </c>
      <c r="G300" s="37">
        <f t="shared" si="30"/>
        <v>367.67250000000001</v>
      </c>
      <c r="H300" s="36" cm="1">
        <f t="array" ref="H300">SUMPRODUCT((C300&gt;tier_floor)*((C300-tier_floor)*step)*margin_rate)</f>
        <v>367.67250000000001</v>
      </c>
      <c r="I300" s="37">
        <f t="shared" si="31"/>
        <v>0</v>
      </c>
      <c r="J300" s="38">
        <f t="shared" si="32"/>
        <v>2022</v>
      </c>
      <c r="K300" s="128">
        <f>(1+target)^($J300-(MIN(tbl_rep_mon[year])))</f>
        <v>1.1499999999999999</v>
      </c>
      <c r="L300" s="35">
        <f t="shared" si="33"/>
        <v>0.25</v>
      </c>
      <c r="M300" s="37">
        <f t="shared" si="34"/>
        <v>367.67250000000001</v>
      </c>
    </row>
    <row r="301" spans="1:13" x14ac:dyDescent="0.4">
      <c r="A301" t="s">
        <v>6</v>
      </c>
      <c r="B301">
        <v>2</v>
      </c>
      <c r="C301" s="36">
        <v>68371.02</v>
      </c>
      <c r="D301" s="1">
        <v>44652</v>
      </c>
      <c r="E301" s="35">
        <f t="shared" si="28"/>
        <v>0.42</v>
      </c>
      <c r="F301" s="37">
        <f t="shared" si="29"/>
        <v>34185.51</v>
      </c>
      <c r="G301" s="37">
        <f t="shared" si="30"/>
        <v>14357.914200000001</v>
      </c>
      <c r="H301" s="36" cm="1">
        <f t="array" ref="H301">SUMPRODUCT((C301&gt;tier_floor)*((C301-tier_floor)*step)*margin_rate)</f>
        <v>11107.914200000001</v>
      </c>
      <c r="I301" s="37">
        <f t="shared" si="31"/>
        <v>3250</v>
      </c>
      <c r="J301" s="38">
        <f t="shared" si="32"/>
        <v>2022</v>
      </c>
      <c r="K301" s="128">
        <f>(1+target)^($J301-(MIN(tbl_rep_mon[year])))</f>
        <v>1.1499999999999999</v>
      </c>
      <c r="L301" s="35">
        <f t="shared" si="33"/>
        <v>0.42</v>
      </c>
      <c r="M301" s="37">
        <f t="shared" si="34"/>
        <v>14357.914200000001</v>
      </c>
    </row>
    <row r="302" spans="1:13" x14ac:dyDescent="0.4">
      <c r="A302" t="s">
        <v>7</v>
      </c>
      <c r="B302">
        <v>4</v>
      </c>
      <c r="C302" s="36">
        <v>54438.89</v>
      </c>
      <c r="D302" s="1">
        <v>44652</v>
      </c>
      <c r="E302" s="35">
        <f t="shared" si="28"/>
        <v>0.42</v>
      </c>
      <c r="F302" s="37">
        <f t="shared" si="29"/>
        <v>27219.445</v>
      </c>
      <c r="G302" s="37">
        <f t="shared" si="30"/>
        <v>11432.1669</v>
      </c>
      <c r="H302" s="36" cm="1">
        <f t="array" ref="H302">SUMPRODUCT((C302&gt;tier_floor)*((C302-tier_floor)*step)*margin_rate)</f>
        <v>8182.1668999999993</v>
      </c>
      <c r="I302" s="37">
        <f t="shared" si="31"/>
        <v>3250.0000000000009</v>
      </c>
      <c r="J302" s="38">
        <f t="shared" si="32"/>
        <v>2022</v>
      </c>
      <c r="K302" s="128">
        <f>(1+target)^($J302-(MIN(tbl_rep_mon[year])))</f>
        <v>1.1499999999999999</v>
      </c>
      <c r="L302" s="35">
        <f t="shared" si="33"/>
        <v>0.33</v>
      </c>
      <c r="M302" s="37">
        <f t="shared" si="34"/>
        <v>8982.4168499999996</v>
      </c>
    </row>
    <row r="303" spans="1:13" x14ac:dyDescent="0.4">
      <c r="A303" t="s">
        <v>8</v>
      </c>
      <c r="B303">
        <v>4</v>
      </c>
      <c r="C303" s="36">
        <v>52800.52</v>
      </c>
      <c r="D303" s="1">
        <v>44652</v>
      </c>
      <c r="E303" s="35">
        <f t="shared" si="28"/>
        <v>0.42</v>
      </c>
      <c r="F303" s="37">
        <f t="shared" si="29"/>
        <v>26400.26</v>
      </c>
      <c r="G303" s="37">
        <f t="shared" si="30"/>
        <v>11088.109199999999</v>
      </c>
      <c r="H303" s="36" cm="1">
        <f t="array" ref="H303">SUMPRODUCT((C303&gt;tier_floor)*((C303-tier_floor)*step)*margin_rate)</f>
        <v>7838.1091999999999</v>
      </c>
      <c r="I303" s="37">
        <f t="shared" si="31"/>
        <v>3249.9999999999991</v>
      </c>
      <c r="J303" s="38">
        <f t="shared" si="32"/>
        <v>2022</v>
      </c>
      <c r="K303" s="128">
        <f>(1+target)^($J303-(MIN(tbl_rep_mon[year])))</f>
        <v>1.1499999999999999</v>
      </c>
      <c r="L303" s="35">
        <f t="shared" si="33"/>
        <v>0.33</v>
      </c>
      <c r="M303" s="37">
        <f t="shared" si="34"/>
        <v>8712.0858000000007</v>
      </c>
    </row>
    <row r="304" spans="1:13" x14ac:dyDescent="0.4">
      <c r="A304" t="s">
        <v>10</v>
      </c>
      <c r="B304">
        <v>3</v>
      </c>
      <c r="C304" s="36">
        <v>12714.3</v>
      </c>
      <c r="D304" s="1">
        <v>44652</v>
      </c>
      <c r="E304" s="35">
        <f t="shared" si="28"/>
        <v>0.25</v>
      </c>
      <c r="F304" s="37">
        <f t="shared" si="29"/>
        <v>6357.15</v>
      </c>
      <c r="G304" s="37">
        <f t="shared" si="30"/>
        <v>1589.2874999999999</v>
      </c>
      <c r="H304" s="36" cm="1">
        <f t="array" ref="H304">SUMPRODUCT((C304&gt;tier_floor)*((C304-tier_floor)*step)*margin_rate)</f>
        <v>1589.2874999999999</v>
      </c>
      <c r="I304" s="37">
        <f t="shared" si="31"/>
        <v>0</v>
      </c>
      <c r="J304" s="38">
        <f t="shared" si="32"/>
        <v>2022</v>
      </c>
      <c r="K304" s="128">
        <f>(1+target)^($J304-(MIN(tbl_rep_mon[year])))</f>
        <v>1.1499999999999999</v>
      </c>
      <c r="L304" s="35">
        <f t="shared" si="33"/>
        <v>0.25</v>
      </c>
      <c r="M304" s="37">
        <f t="shared" si="34"/>
        <v>1589.2874999999999</v>
      </c>
    </row>
    <row r="305" spans="1:13" x14ac:dyDescent="0.4">
      <c r="A305" t="s">
        <v>12</v>
      </c>
      <c r="B305">
        <v>2</v>
      </c>
      <c r="C305" s="36">
        <v>89499.26</v>
      </c>
      <c r="D305" s="1">
        <v>44652</v>
      </c>
      <c r="E305" s="35">
        <f t="shared" si="28"/>
        <v>0.51</v>
      </c>
      <c r="F305" s="37">
        <f t="shared" si="29"/>
        <v>44749.63</v>
      </c>
      <c r="G305" s="37">
        <f t="shared" si="30"/>
        <v>22822.311299999998</v>
      </c>
      <c r="H305" s="36" cm="1">
        <f t="array" ref="H305">SUMPRODUCT((C305&gt;tier_floor)*((C305-tier_floor)*step)*margin_rate)</f>
        <v>16197.311299999998</v>
      </c>
      <c r="I305" s="37">
        <f t="shared" si="31"/>
        <v>6625</v>
      </c>
      <c r="J305" s="38">
        <f t="shared" si="32"/>
        <v>2022</v>
      </c>
      <c r="K305" s="128">
        <f>(1+target)^($J305-(MIN(tbl_rep_mon[year])))</f>
        <v>1.1499999999999999</v>
      </c>
      <c r="L305" s="35">
        <f t="shared" si="33"/>
        <v>0.51</v>
      </c>
      <c r="M305" s="37">
        <f t="shared" si="34"/>
        <v>22822.311299999998</v>
      </c>
    </row>
    <row r="306" spans="1:13" x14ac:dyDescent="0.4">
      <c r="A306" t="s">
        <v>15</v>
      </c>
      <c r="B306">
        <v>3</v>
      </c>
      <c r="C306" s="36">
        <v>86131.82</v>
      </c>
      <c r="D306" s="1">
        <v>44652</v>
      </c>
      <c r="E306" s="35">
        <f t="shared" si="28"/>
        <v>0.51</v>
      </c>
      <c r="F306" s="37">
        <f t="shared" si="29"/>
        <v>43065.91</v>
      </c>
      <c r="G306" s="37">
        <f t="shared" si="30"/>
        <v>21963.614100000003</v>
      </c>
      <c r="H306" s="36" cm="1">
        <f t="array" ref="H306">SUMPRODUCT((C306&gt;tier_floor)*((C306-tier_floor)*step)*margin_rate)</f>
        <v>15338.614100000001</v>
      </c>
      <c r="I306" s="37">
        <f t="shared" si="31"/>
        <v>6625.0000000000018</v>
      </c>
      <c r="J306" s="38">
        <f t="shared" si="32"/>
        <v>2022</v>
      </c>
      <c r="K306" s="128">
        <f>(1+target)^($J306-(MIN(tbl_rep_mon[year])))</f>
        <v>1.1499999999999999</v>
      </c>
      <c r="L306" s="35">
        <f t="shared" si="33"/>
        <v>0.42</v>
      </c>
      <c r="M306" s="37">
        <f t="shared" si="34"/>
        <v>18087.682199999999</v>
      </c>
    </row>
    <row r="307" spans="1:13" x14ac:dyDescent="0.4">
      <c r="A307" t="s">
        <v>16</v>
      </c>
      <c r="B307">
        <v>3</v>
      </c>
      <c r="C307" s="36">
        <v>81613.84</v>
      </c>
      <c r="D307" s="1">
        <v>44652</v>
      </c>
      <c r="E307" s="35">
        <f t="shared" si="28"/>
        <v>0.51</v>
      </c>
      <c r="F307" s="37">
        <f t="shared" si="29"/>
        <v>40806.92</v>
      </c>
      <c r="G307" s="37">
        <f t="shared" si="30"/>
        <v>20811.529200000001</v>
      </c>
      <c r="H307" s="36" cm="1">
        <f t="array" ref="H307">SUMPRODUCT((C307&gt;tier_floor)*((C307-tier_floor)*step)*margin_rate)</f>
        <v>14186.529199999997</v>
      </c>
      <c r="I307" s="37">
        <f t="shared" si="31"/>
        <v>6625.0000000000036</v>
      </c>
      <c r="J307" s="38">
        <f t="shared" si="32"/>
        <v>2022</v>
      </c>
      <c r="K307" s="128">
        <f>(1+target)^($J307-(MIN(tbl_rep_mon[year])))</f>
        <v>1.1499999999999999</v>
      </c>
      <c r="L307" s="35">
        <f t="shared" si="33"/>
        <v>0.42</v>
      </c>
      <c r="M307" s="37">
        <f t="shared" si="34"/>
        <v>17138.9064</v>
      </c>
    </row>
    <row r="308" spans="1:13" x14ac:dyDescent="0.4">
      <c r="A308" t="s">
        <v>18</v>
      </c>
      <c r="B308">
        <v>3</v>
      </c>
      <c r="C308" s="36">
        <v>58236.57</v>
      </c>
      <c r="D308" s="1">
        <v>44652</v>
      </c>
      <c r="E308" s="35">
        <f t="shared" si="28"/>
        <v>0.42</v>
      </c>
      <c r="F308" s="37">
        <f t="shared" si="29"/>
        <v>29118.285</v>
      </c>
      <c r="G308" s="37">
        <f t="shared" si="30"/>
        <v>12229.679699999999</v>
      </c>
      <c r="H308" s="36" cm="1">
        <f t="array" ref="H308">SUMPRODUCT((C308&gt;tier_floor)*((C308-tier_floor)*step)*margin_rate)</f>
        <v>8979.6797000000006</v>
      </c>
      <c r="I308" s="37">
        <f t="shared" si="31"/>
        <v>3249.9999999999982</v>
      </c>
      <c r="J308" s="38">
        <f t="shared" si="32"/>
        <v>2022</v>
      </c>
      <c r="K308" s="128">
        <f>(1+target)^($J308-(MIN(tbl_rep_mon[year])))</f>
        <v>1.1499999999999999</v>
      </c>
      <c r="L308" s="35">
        <f t="shared" si="33"/>
        <v>0.42</v>
      </c>
      <c r="M308" s="37">
        <f t="shared" si="34"/>
        <v>12229.679699999999</v>
      </c>
    </row>
    <row r="309" spans="1:13" x14ac:dyDescent="0.4">
      <c r="A309" t="s">
        <v>19</v>
      </c>
      <c r="B309">
        <v>4</v>
      </c>
      <c r="C309" s="36">
        <v>73001.33</v>
      </c>
      <c r="D309" s="1">
        <v>44652</v>
      </c>
      <c r="E309" s="35">
        <f t="shared" si="28"/>
        <v>0.42</v>
      </c>
      <c r="F309" s="37">
        <f t="shared" si="29"/>
        <v>36500.665000000001</v>
      </c>
      <c r="G309" s="37">
        <f t="shared" si="30"/>
        <v>15330.2793</v>
      </c>
      <c r="H309" s="36" cm="1">
        <f t="array" ref="H309">SUMPRODUCT((C309&gt;tier_floor)*((C309-tier_floor)*step)*margin_rate)</f>
        <v>12080.2793</v>
      </c>
      <c r="I309" s="37">
        <f t="shared" si="31"/>
        <v>3250</v>
      </c>
      <c r="J309" s="38">
        <f t="shared" si="32"/>
        <v>2022</v>
      </c>
      <c r="K309" s="128">
        <f>(1+target)^($J309-(MIN(tbl_rep_mon[year])))</f>
        <v>1.1499999999999999</v>
      </c>
      <c r="L309" s="35">
        <f t="shared" si="33"/>
        <v>0.42</v>
      </c>
      <c r="M309" s="37">
        <f t="shared" si="34"/>
        <v>15330.2793</v>
      </c>
    </row>
    <row r="310" spans="1:13" x14ac:dyDescent="0.4">
      <c r="A310" t="s">
        <v>22</v>
      </c>
      <c r="B310">
        <v>4</v>
      </c>
      <c r="C310" s="36">
        <v>42869.39</v>
      </c>
      <c r="D310" s="1">
        <v>44652</v>
      </c>
      <c r="E310" s="35">
        <f t="shared" si="28"/>
        <v>0.33</v>
      </c>
      <c r="F310" s="37">
        <f t="shared" si="29"/>
        <v>21434.695</v>
      </c>
      <c r="G310" s="37">
        <f t="shared" si="30"/>
        <v>7073.4493499999999</v>
      </c>
      <c r="H310" s="36" cm="1">
        <f t="array" ref="H310">SUMPRODUCT((C310&gt;tier_floor)*((C310-tier_floor)*step)*margin_rate)</f>
        <v>6073.4493499999999</v>
      </c>
      <c r="I310" s="37">
        <f t="shared" si="31"/>
        <v>1000</v>
      </c>
      <c r="J310" s="38">
        <f t="shared" si="32"/>
        <v>2022</v>
      </c>
      <c r="K310" s="128">
        <f>(1+target)^($J310-(MIN(tbl_rep_mon[year])))</f>
        <v>1.1499999999999999</v>
      </c>
      <c r="L310" s="35">
        <f t="shared" si="33"/>
        <v>0.33</v>
      </c>
      <c r="M310" s="37">
        <f t="shared" si="34"/>
        <v>7073.4493499999999</v>
      </c>
    </row>
    <row r="311" spans="1:13" x14ac:dyDescent="0.4">
      <c r="A311" t="s">
        <v>23</v>
      </c>
      <c r="B311">
        <v>1</v>
      </c>
      <c r="C311" s="36">
        <v>115780.75</v>
      </c>
      <c r="D311" s="1">
        <v>44652</v>
      </c>
      <c r="E311" s="35">
        <f t="shared" si="28"/>
        <v>0.6</v>
      </c>
      <c r="F311" s="37">
        <f t="shared" si="29"/>
        <v>57890.375</v>
      </c>
      <c r="G311" s="37">
        <f t="shared" si="30"/>
        <v>34734.224999999999</v>
      </c>
      <c r="H311" s="36" cm="1">
        <f t="array" ref="H311">SUMPRODUCT((C311&gt;tier_floor)*((C311-tier_floor)*step)*margin_rate)</f>
        <v>23609.224999999999</v>
      </c>
      <c r="I311" s="37">
        <f t="shared" si="31"/>
        <v>11125</v>
      </c>
      <c r="J311" s="38">
        <f t="shared" si="32"/>
        <v>2022</v>
      </c>
      <c r="K311" s="128">
        <f>(1+target)^($J311-(MIN(tbl_rep_mon[year])))</f>
        <v>1.1499999999999999</v>
      </c>
      <c r="L311" s="35">
        <f t="shared" si="33"/>
        <v>0.6</v>
      </c>
      <c r="M311" s="37">
        <f t="shared" si="34"/>
        <v>34734.224999999999</v>
      </c>
    </row>
    <row r="312" spans="1:13" x14ac:dyDescent="0.4">
      <c r="A312" t="s">
        <v>24</v>
      </c>
      <c r="B312">
        <v>3</v>
      </c>
      <c r="C312" s="36">
        <v>39677.129999999997</v>
      </c>
      <c r="D312" s="1">
        <v>44652</v>
      </c>
      <c r="E312" s="35">
        <f t="shared" si="28"/>
        <v>0.33</v>
      </c>
      <c r="F312" s="37">
        <f t="shared" si="29"/>
        <v>19838.564999999999</v>
      </c>
      <c r="G312" s="37">
        <f t="shared" si="30"/>
        <v>6546.7264500000001</v>
      </c>
      <c r="H312" s="36" cm="1">
        <f t="array" ref="H312">SUMPRODUCT((C312&gt;tier_floor)*((C312-tier_floor)*step)*margin_rate)</f>
        <v>5546.7264500000001</v>
      </c>
      <c r="I312" s="37">
        <f t="shared" si="31"/>
        <v>1000</v>
      </c>
      <c r="J312" s="38">
        <f t="shared" si="32"/>
        <v>2022</v>
      </c>
      <c r="K312" s="128">
        <f>(1+target)^($J312-(MIN(tbl_rep_mon[year])))</f>
        <v>1.1499999999999999</v>
      </c>
      <c r="L312" s="35">
        <f t="shared" si="33"/>
        <v>0.33</v>
      </c>
      <c r="M312" s="37">
        <f t="shared" si="34"/>
        <v>6546.7264500000001</v>
      </c>
    </row>
    <row r="313" spans="1:13" x14ac:dyDescent="0.4">
      <c r="A313" t="s">
        <v>25</v>
      </c>
      <c r="B313">
        <v>2</v>
      </c>
      <c r="C313" s="36">
        <v>68177.87</v>
      </c>
      <c r="D313" s="1">
        <v>44652</v>
      </c>
      <c r="E313" s="35">
        <f t="shared" si="28"/>
        <v>0.42</v>
      </c>
      <c r="F313" s="37">
        <f t="shared" si="29"/>
        <v>34088.934999999998</v>
      </c>
      <c r="G313" s="37">
        <f t="shared" si="30"/>
        <v>14317.352699999998</v>
      </c>
      <c r="H313" s="36" cm="1">
        <f t="array" ref="H313">SUMPRODUCT((C313&gt;tier_floor)*((C313-tier_floor)*step)*margin_rate)</f>
        <v>11067.352699999998</v>
      </c>
      <c r="I313" s="37">
        <f t="shared" si="31"/>
        <v>3250</v>
      </c>
      <c r="J313" s="38">
        <f t="shared" si="32"/>
        <v>2022</v>
      </c>
      <c r="K313" s="128">
        <f>(1+target)^($J313-(MIN(tbl_rep_mon[year])))</f>
        <v>1.1499999999999999</v>
      </c>
      <c r="L313" s="35">
        <f t="shared" si="33"/>
        <v>0.42</v>
      </c>
      <c r="M313" s="37">
        <f t="shared" si="34"/>
        <v>14317.352699999998</v>
      </c>
    </row>
    <row r="314" spans="1:13" x14ac:dyDescent="0.4">
      <c r="A314" t="s">
        <v>26</v>
      </c>
      <c r="B314">
        <v>2</v>
      </c>
      <c r="C314" s="36">
        <v>61825.06</v>
      </c>
      <c r="D314" s="1">
        <v>44652</v>
      </c>
      <c r="E314" s="35">
        <f t="shared" si="28"/>
        <v>0.42</v>
      </c>
      <c r="F314" s="37">
        <f t="shared" si="29"/>
        <v>30912.53</v>
      </c>
      <c r="G314" s="37">
        <f t="shared" si="30"/>
        <v>12983.262599999998</v>
      </c>
      <c r="H314" s="36" cm="1">
        <f t="array" ref="H314">SUMPRODUCT((C314&gt;tier_floor)*((C314-tier_floor)*step)*margin_rate)</f>
        <v>9733.2625999999982</v>
      </c>
      <c r="I314" s="37">
        <f t="shared" si="31"/>
        <v>3250</v>
      </c>
      <c r="J314" s="38">
        <f t="shared" si="32"/>
        <v>2022</v>
      </c>
      <c r="K314" s="128">
        <f>(1+target)^($J314-(MIN(tbl_rep_mon[year])))</f>
        <v>1.1499999999999999</v>
      </c>
      <c r="L314" s="35">
        <f t="shared" si="33"/>
        <v>0.42</v>
      </c>
      <c r="M314" s="37">
        <f t="shared" si="34"/>
        <v>12983.262599999998</v>
      </c>
    </row>
    <row r="315" spans="1:13" x14ac:dyDescent="0.4">
      <c r="A315" t="s">
        <v>27</v>
      </c>
      <c r="B315">
        <v>4</v>
      </c>
      <c r="C315" s="36">
        <v>62447.68</v>
      </c>
      <c r="D315" s="1">
        <v>44652</v>
      </c>
      <c r="E315" s="35">
        <f t="shared" si="28"/>
        <v>0.42</v>
      </c>
      <c r="F315" s="37">
        <f t="shared" si="29"/>
        <v>31223.84</v>
      </c>
      <c r="G315" s="37">
        <f t="shared" si="30"/>
        <v>13114.0128</v>
      </c>
      <c r="H315" s="36" cm="1">
        <f t="array" ref="H315">SUMPRODUCT((C315&gt;tier_floor)*((C315-tier_floor)*step)*margin_rate)</f>
        <v>9864.0128000000004</v>
      </c>
      <c r="I315" s="37">
        <f t="shared" si="31"/>
        <v>3250</v>
      </c>
      <c r="J315" s="38">
        <f t="shared" si="32"/>
        <v>2022</v>
      </c>
      <c r="K315" s="128">
        <f>(1+target)^($J315-(MIN(tbl_rep_mon[year])))</f>
        <v>1.1499999999999999</v>
      </c>
      <c r="L315" s="35">
        <f t="shared" si="33"/>
        <v>0.42</v>
      </c>
      <c r="M315" s="37">
        <f t="shared" si="34"/>
        <v>13114.0128</v>
      </c>
    </row>
    <row r="316" spans="1:13" x14ac:dyDescent="0.4">
      <c r="A316" t="s">
        <v>28</v>
      </c>
      <c r="B316">
        <v>2</v>
      </c>
      <c r="C316" s="36">
        <v>55903.6</v>
      </c>
      <c r="D316" s="1">
        <v>44652</v>
      </c>
      <c r="E316" s="35">
        <f t="shared" si="28"/>
        <v>0.42</v>
      </c>
      <c r="F316" s="37">
        <f t="shared" si="29"/>
        <v>27951.8</v>
      </c>
      <c r="G316" s="37">
        <f t="shared" si="30"/>
        <v>11739.755999999999</v>
      </c>
      <c r="H316" s="36" cm="1">
        <f t="array" ref="H316">SUMPRODUCT((C316&gt;tier_floor)*((C316-tier_floor)*step)*margin_rate)</f>
        <v>8489.7560000000012</v>
      </c>
      <c r="I316" s="37">
        <f t="shared" si="31"/>
        <v>3249.9999999999982</v>
      </c>
      <c r="J316" s="38">
        <f t="shared" si="32"/>
        <v>2022</v>
      </c>
      <c r="K316" s="128">
        <f>(1+target)^($J316-(MIN(tbl_rep_mon[year])))</f>
        <v>1.1499999999999999</v>
      </c>
      <c r="L316" s="35">
        <f t="shared" si="33"/>
        <v>0.33</v>
      </c>
      <c r="M316" s="37">
        <f t="shared" si="34"/>
        <v>9224.094000000001</v>
      </c>
    </row>
    <row r="317" spans="1:13" x14ac:dyDescent="0.4">
      <c r="A317" t="s">
        <v>29</v>
      </c>
      <c r="B317">
        <v>1</v>
      </c>
      <c r="C317" s="36">
        <v>100777.34</v>
      </c>
      <c r="D317" s="1">
        <v>44652</v>
      </c>
      <c r="E317" s="35">
        <f t="shared" si="28"/>
        <v>0.6</v>
      </c>
      <c r="F317" s="37">
        <f t="shared" si="29"/>
        <v>50388.67</v>
      </c>
      <c r="G317" s="37">
        <f t="shared" si="30"/>
        <v>30233.201999999997</v>
      </c>
      <c r="H317" s="36" cm="1">
        <f t="array" ref="H317">SUMPRODUCT((C317&gt;tier_floor)*((C317-tier_floor)*step)*margin_rate)</f>
        <v>19108.201999999997</v>
      </c>
      <c r="I317" s="37">
        <f t="shared" si="31"/>
        <v>11125</v>
      </c>
      <c r="J317" s="38">
        <f t="shared" si="32"/>
        <v>2022</v>
      </c>
      <c r="K317" s="128">
        <f>(1+target)^($J317-(MIN(tbl_rep_mon[year])))</f>
        <v>1.1499999999999999</v>
      </c>
      <c r="L317" s="35">
        <f t="shared" si="33"/>
        <v>0.51</v>
      </c>
      <c r="M317" s="37">
        <f t="shared" si="34"/>
        <v>25698.221699999998</v>
      </c>
    </row>
    <row r="318" spans="1:13" x14ac:dyDescent="0.4">
      <c r="A318" t="s">
        <v>30</v>
      </c>
      <c r="B318">
        <v>4</v>
      </c>
      <c r="C318" s="36">
        <v>66164.710000000006</v>
      </c>
      <c r="D318" s="1">
        <v>44652</v>
      </c>
      <c r="E318" s="35">
        <f t="shared" si="28"/>
        <v>0.42</v>
      </c>
      <c r="F318" s="37">
        <f t="shared" si="29"/>
        <v>33082.355000000003</v>
      </c>
      <c r="G318" s="37">
        <f t="shared" si="30"/>
        <v>13894.589100000001</v>
      </c>
      <c r="H318" s="36" cm="1">
        <f t="array" ref="H318">SUMPRODUCT((C318&gt;tier_floor)*((C318-tier_floor)*step)*margin_rate)</f>
        <v>10644.589100000001</v>
      </c>
      <c r="I318" s="37">
        <f t="shared" si="31"/>
        <v>3250</v>
      </c>
      <c r="J318" s="38">
        <f t="shared" si="32"/>
        <v>2022</v>
      </c>
      <c r="K318" s="128">
        <f>(1+target)^($J318-(MIN(tbl_rep_mon[year])))</f>
        <v>1.1499999999999999</v>
      </c>
      <c r="L318" s="35">
        <f t="shared" si="33"/>
        <v>0.42</v>
      </c>
      <c r="M318" s="37">
        <f t="shared" si="34"/>
        <v>13894.589100000001</v>
      </c>
    </row>
    <row r="319" spans="1:13" x14ac:dyDescent="0.4">
      <c r="A319" t="s">
        <v>31</v>
      </c>
      <c r="B319">
        <v>4</v>
      </c>
      <c r="C319" s="36">
        <v>42221.51</v>
      </c>
      <c r="D319" s="1">
        <v>44652</v>
      </c>
      <c r="E319" s="35">
        <f t="shared" si="28"/>
        <v>0.33</v>
      </c>
      <c r="F319" s="37">
        <f t="shared" si="29"/>
        <v>21110.755000000001</v>
      </c>
      <c r="G319" s="37">
        <f t="shared" si="30"/>
        <v>6966.5491500000007</v>
      </c>
      <c r="H319" s="36" cm="1">
        <f t="array" ref="H319">SUMPRODUCT((C319&gt;tier_floor)*((C319-tier_floor)*step)*margin_rate)</f>
        <v>5966.5491500000007</v>
      </c>
      <c r="I319" s="37">
        <f t="shared" si="31"/>
        <v>1000</v>
      </c>
      <c r="J319" s="38">
        <f t="shared" si="32"/>
        <v>2022</v>
      </c>
      <c r="K319" s="128">
        <f>(1+target)^($J319-(MIN(tbl_rep_mon[year])))</f>
        <v>1.1499999999999999</v>
      </c>
      <c r="L319" s="35">
        <f t="shared" si="33"/>
        <v>0.33</v>
      </c>
      <c r="M319" s="37">
        <f t="shared" si="34"/>
        <v>6966.5491500000007</v>
      </c>
    </row>
    <row r="320" spans="1:13" x14ac:dyDescent="0.4">
      <c r="A320" t="s">
        <v>32</v>
      </c>
      <c r="B320">
        <v>4</v>
      </c>
      <c r="C320" s="36">
        <v>47944.53</v>
      </c>
      <c r="D320" s="1">
        <v>44652</v>
      </c>
      <c r="E320" s="35">
        <f t="shared" si="28"/>
        <v>0.33</v>
      </c>
      <c r="F320" s="37">
        <f t="shared" si="29"/>
        <v>23972.264999999999</v>
      </c>
      <c r="G320" s="37">
        <f t="shared" si="30"/>
        <v>7910.8474500000002</v>
      </c>
      <c r="H320" s="36" cm="1">
        <f t="array" ref="H320">SUMPRODUCT((C320&gt;tier_floor)*((C320-tier_floor)*step)*margin_rate)</f>
        <v>6910.8474500000002</v>
      </c>
      <c r="I320" s="37">
        <f t="shared" si="31"/>
        <v>1000</v>
      </c>
      <c r="J320" s="38">
        <f t="shared" si="32"/>
        <v>2022</v>
      </c>
      <c r="K320" s="128">
        <f>(1+target)^($J320-(MIN(tbl_rep_mon[year])))</f>
        <v>1.1499999999999999</v>
      </c>
      <c r="L320" s="35">
        <f t="shared" si="33"/>
        <v>0.33</v>
      </c>
      <c r="M320" s="37">
        <f t="shared" si="34"/>
        <v>7910.8474500000002</v>
      </c>
    </row>
    <row r="321" spans="1:13" x14ac:dyDescent="0.4">
      <c r="A321" t="s">
        <v>6</v>
      </c>
      <c r="B321">
        <v>2</v>
      </c>
      <c r="C321" s="36">
        <v>69082.559999999998</v>
      </c>
      <c r="D321" s="1">
        <v>44682</v>
      </c>
      <c r="E321" s="35">
        <f t="shared" si="28"/>
        <v>0.42</v>
      </c>
      <c r="F321" s="37">
        <f t="shared" si="29"/>
        <v>34541.279999999999</v>
      </c>
      <c r="G321" s="37">
        <f t="shared" si="30"/>
        <v>14507.337599999999</v>
      </c>
      <c r="H321" s="36" cm="1">
        <f t="array" ref="H321">SUMPRODUCT((C321&gt;tier_floor)*((C321-tier_floor)*step)*margin_rate)</f>
        <v>11257.337599999999</v>
      </c>
      <c r="I321" s="37">
        <f t="shared" si="31"/>
        <v>3250</v>
      </c>
      <c r="J321" s="38">
        <f t="shared" si="32"/>
        <v>2022</v>
      </c>
      <c r="K321" s="128">
        <f>(1+target)^($J321-(MIN(tbl_rep_mon[year])))</f>
        <v>1.1499999999999999</v>
      </c>
      <c r="L321" s="35">
        <f t="shared" si="33"/>
        <v>0.42</v>
      </c>
      <c r="M321" s="37">
        <f t="shared" si="34"/>
        <v>14507.337599999999</v>
      </c>
    </row>
    <row r="322" spans="1:13" x14ac:dyDescent="0.4">
      <c r="A322" t="s">
        <v>7</v>
      </c>
      <c r="B322">
        <v>4</v>
      </c>
      <c r="C322" s="36">
        <v>57095.27</v>
      </c>
      <c r="D322" s="1">
        <v>44682</v>
      </c>
      <c r="E322" s="35">
        <f t="shared" ref="E322:E385" si="35">_xlfn.XLOOKUP(C322,tier_floor,tier_rate,,-1)</f>
        <v>0.42</v>
      </c>
      <c r="F322" s="37">
        <f t="shared" ref="F322:F385" si="36">C322*margin_rate</f>
        <v>28547.634999999998</v>
      </c>
      <c r="G322" s="37">
        <f t="shared" ref="G322:G385" si="37">F322*E322</f>
        <v>11990.006699999998</v>
      </c>
      <c r="H322" s="36" cm="1">
        <f t="array" ref="H322">SUMPRODUCT((C322&gt;tier_floor)*((C322-tier_floor)*step)*margin_rate)</f>
        <v>8740.0066999999999</v>
      </c>
      <c r="I322" s="37">
        <f t="shared" ref="I322:I385" si="38">G322-H322</f>
        <v>3249.9999999999982</v>
      </c>
      <c r="J322" s="38">
        <f t="shared" ref="J322:J385" si="39">YEAR(D322)</f>
        <v>2022</v>
      </c>
      <c r="K322" s="128">
        <f>(1+target)^($J322-(MIN(tbl_rep_mon[year])))</f>
        <v>1.1499999999999999</v>
      </c>
      <c r="L322" s="35">
        <f t="shared" ref="L322:L385" si="40">_xlfn.XLOOKUP(($C322/$K322),tier_floor,tier_rate,,-1)</f>
        <v>0.33</v>
      </c>
      <c r="M322" s="37">
        <f t="shared" ref="M322:M385" si="41">$F322*$L322</f>
        <v>9420.7195499999998</v>
      </c>
    </row>
    <row r="323" spans="1:13" x14ac:dyDescent="0.4">
      <c r="A323" t="s">
        <v>8</v>
      </c>
      <c r="B323">
        <v>4</v>
      </c>
      <c r="C323" s="36">
        <v>64606.21</v>
      </c>
      <c r="D323" s="1">
        <v>44682</v>
      </c>
      <c r="E323" s="35">
        <f t="shared" si="35"/>
        <v>0.42</v>
      </c>
      <c r="F323" s="37">
        <f t="shared" si="36"/>
        <v>32303.105</v>
      </c>
      <c r="G323" s="37">
        <f t="shared" si="37"/>
        <v>13567.304099999999</v>
      </c>
      <c r="H323" s="36" cm="1">
        <f t="array" ref="H323">SUMPRODUCT((C323&gt;tier_floor)*((C323-tier_floor)*step)*margin_rate)</f>
        <v>10317.304099999999</v>
      </c>
      <c r="I323" s="37">
        <f t="shared" si="38"/>
        <v>3250</v>
      </c>
      <c r="J323" s="38">
        <f t="shared" si="39"/>
        <v>2022</v>
      </c>
      <c r="K323" s="128">
        <f>(1+target)^($J323-(MIN(tbl_rep_mon[year])))</f>
        <v>1.1499999999999999</v>
      </c>
      <c r="L323" s="35">
        <f t="shared" si="40"/>
        <v>0.42</v>
      </c>
      <c r="M323" s="37">
        <f t="shared" si="41"/>
        <v>13567.304099999999</v>
      </c>
    </row>
    <row r="324" spans="1:13" x14ac:dyDescent="0.4">
      <c r="A324" t="s">
        <v>12</v>
      </c>
      <c r="B324">
        <v>2</v>
      </c>
      <c r="C324" s="36">
        <v>56913.5</v>
      </c>
      <c r="D324" s="1">
        <v>44682</v>
      </c>
      <c r="E324" s="35">
        <f t="shared" si="35"/>
        <v>0.42</v>
      </c>
      <c r="F324" s="37">
        <f t="shared" si="36"/>
        <v>28456.75</v>
      </c>
      <c r="G324" s="37">
        <f t="shared" si="37"/>
        <v>11951.834999999999</v>
      </c>
      <c r="H324" s="36" cm="1">
        <f t="array" ref="H324">SUMPRODUCT((C324&gt;tier_floor)*((C324-tier_floor)*step)*margin_rate)</f>
        <v>8701.8350000000009</v>
      </c>
      <c r="I324" s="37">
        <f t="shared" si="38"/>
        <v>3249.9999999999982</v>
      </c>
      <c r="J324" s="38">
        <f t="shared" si="39"/>
        <v>2022</v>
      </c>
      <c r="K324" s="128">
        <f>(1+target)^($J324-(MIN(tbl_rep_mon[year])))</f>
        <v>1.1499999999999999</v>
      </c>
      <c r="L324" s="35">
        <f t="shared" si="40"/>
        <v>0.33</v>
      </c>
      <c r="M324" s="37">
        <f t="shared" si="41"/>
        <v>9390.7275000000009</v>
      </c>
    </row>
    <row r="325" spans="1:13" x14ac:dyDescent="0.4">
      <c r="A325" t="s">
        <v>15</v>
      </c>
      <c r="B325">
        <v>3</v>
      </c>
      <c r="C325" s="36">
        <v>70808.070000000007</v>
      </c>
      <c r="D325" s="1">
        <v>44682</v>
      </c>
      <c r="E325" s="35">
        <f t="shared" si="35"/>
        <v>0.42</v>
      </c>
      <c r="F325" s="37">
        <f t="shared" si="36"/>
        <v>35404.035000000003</v>
      </c>
      <c r="G325" s="37">
        <f t="shared" si="37"/>
        <v>14869.6947</v>
      </c>
      <c r="H325" s="36" cm="1">
        <f t="array" ref="H325">SUMPRODUCT((C325&gt;tier_floor)*((C325-tier_floor)*step)*margin_rate)</f>
        <v>11619.6947</v>
      </c>
      <c r="I325" s="37">
        <f t="shared" si="38"/>
        <v>3250</v>
      </c>
      <c r="J325" s="38">
        <f t="shared" si="39"/>
        <v>2022</v>
      </c>
      <c r="K325" s="128">
        <f>(1+target)^($J325-(MIN(tbl_rep_mon[year])))</f>
        <v>1.1499999999999999</v>
      </c>
      <c r="L325" s="35">
        <f t="shared" si="40"/>
        <v>0.42</v>
      </c>
      <c r="M325" s="37">
        <f t="shared" si="41"/>
        <v>14869.6947</v>
      </c>
    </row>
    <row r="326" spans="1:13" x14ac:dyDescent="0.4">
      <c r="A326" t="s">
        <v>16</v>
      </c>
      <c r="B326">
        <v>3</v>
      </c>
      <c r="C326" s="36">
        <v>86684.06</v>
      </c>
      <c r="D326" s="1">
        <v>44682</v>
      </c>
      <c r="E326" s="35">
        <f t="shared" si="35"/>
        <v>0.51</v>
      </c>
      <c r="F326" s="37">
        <f t="shared" si="36"/>
        <v>43342.03</v>
      </c>
      <c r="G326" s="37">
        <f t="shared" si="37"/>
        <v>22104.435300000001</v>
      </c>
      <c r="H326" s="36" cm="1">
        <f t="array" ref="H326">SUMPRODUCT((C326&gt;tier_floor)*((C326-tier_floor)*step)*margin_rate)</f>
        <v>15479.435299999999</v>
      </c>
      <c r="I326" s="37">
        <f t="shared" si="38"/>
        <v>6625.0000000000018</v>
      </c>
      <c r="J326" s="38">
        <f t="shared" si="39"/>
        <v>2022</v>
      </c>
      <c r="K326" s="128">
        <f>(1+target)^($J326-(MIN(tbl_rep_mon[year])))</f>
        <v>1.1499999999999999</v>
      </c>
      <c r="L326" s="35">
        <f t="shared" si="40"/>
        <v>0.51</v>
      </c>
      <c r="M326" s="37">
        <f t="shared" si="41"/>
        <v>22104.435300000001</v>
      </c>
    </row>
    <row r="327" spans="1:13" x14ac:dyDescent="0.4">
      <c r="A327" t="s">
        <v>18</v>
      </c>
      <c r="B327">
        <v>3</v>
      </c>
      <c r="C327" s="36">
        <v>63101.41</v>
      </c>
      <c r="D327" s="1">
        <v>44682</v>
      </c>
      <c r="E327" s="35">
        <f t="shared" si="35"/>
        <v>0.42</v>
      </c>
      <c r="F327" s="37">
        <f t="shared" si="36"/>
        <v>31550.705000000002</v>
      </c>
      <c r="G327" s="37">
        <f t="shared" si="37"/>
        <v>13251.2961</v>
      </c>
      <c r="H327" s="36" cm="1">
        <f t="array" ref="H327">SUMPRODUCT((C327&gt;tier_floor)*((C327-tier_floor)*step)*margin_rate)</f>
        <v>10001.296100000001</v>
      </c>
      <c r="I327" s="37">
        <f t="shared" si="38"/>
        <v>3249.9999999999982</v>
      </c>
      <c r="J327" s="38">
        <f t="shared" si="39"/>
        <v>2022</v>
      </c>
      <c r="K327" s="128">
        <f>(1+target)^($J327-(MIN(tbl_rep_mon[year])))</f>
        <v>1.1499999999999999</v>
      </c>
      <c r="L327" s="35">
        <f t="shared" si="40"/>
        <v>0.42</v>
      </c>
      <c r="M327" s="37">
        <f t="shared" si="41"/>
        <v>13251.2961</v>
      </c>
    </row>
    <row r="328" spans="1:13" x14ac:dyDescent="0.4">
      <c r="A328" t="s">
        <v>19</v>
      </c>
      <c r="B328">
        <v>4</v>
      </c>
      <c r="C328" s="36">
        <v>55183.02</v>
      </c>
      <c r="D328" s="1">
        <v>44682</v>
      </c>
      <c r="E328" s="35">
        <f t="shared" si="35"/>
        <v>0.42</v>
      </c>
      <c r="F328" s="37">
        <f t="shared" si="36"/>
        <v>27591.51</v>
      </c>
      <c r="G328" s="37">
        <f t="shared" si="37"/>
        <v>11588.4342</v>
      </c>
      <c r="H328" s="36" cm="1">
        <f t="array" ref="H328">SUMPRODUCT((C328&gt;tier_floor)*((C328-tier_floor)*step)*margin_rate)</f>
        <v>8338.4341999999997</v>
      </c>
      <c r="I328" s="37">
        <f t="shared" si="38"/>
        <v>3250</v>
      </c>
      <c r="J328" s="38">
        <f t="shared" si="39"/>
        <v>2022</v>
      </c>
      <c r="K328" s="128">
        <f>(1+target)^($J328-(MIN(tbl_rep_mon[year])))</f>
        <v>1.1499999999999999</v>
      </c>
      <c r="L328" s="35">
        <f t="shared" si="40"/>
        <v>0.33</v>
      </c>
      <c r="M328" s="37">
        <f t="shared" si="41"/>
        <v>9105.1983</v>
      </c>
    </row>
    <row r="329" spans="1:13" x14ac:dyDescent="0.4">
      <c r="A329" t="s">
        <v>22</v>
      </c>
      <c r="B329">
        <v>4</v>
      </c>
      <c r="C329" s="36">
        <v>9712.85</v>
      </c>
      <c r="D329" s="1">
        <v>44682</v>
      </c>
      <c r="E329" s="35">
        <f t="shared" si="35"/>
        <v>0.25</v>
      </c>
      <c r="F329" s="37">
        <f t="shared" si="36"/>
        <v>4856.4250000000002</v>
      </c>
      <c r="G329" s="37">
        <f t="shared" si="37"/>
        <v>1214.10625</v>
      </c>
      <c r="H329" s="36" cm="1">
        <f t="array" ref="H329">SUMPRODUCT((C329&gt;tier_floor)*((C329-tier_floor)*step)*margin_rate)</f>
        <v>1214.10625</v>
      </c>
      <c r="I329" s="37">
        <f t="shared" si="38"/>
        <v>0</v>
      </c>
      <c r="J329" s="38">
        <f t="shared" si="39"/>
        <v>2022</v>
      </c>
      <c r="K329" s="128">
        <f>(1+target)^($J329-(MIN(tbl_rep_mon[year])))</f>
        <v>1.1499999999999999</v>
      </c>
      <c r="L329" s="35">
        <f t="shared" si="40"/>
        <v>0.25</v>
      </c>
      <c r="M329" s="37">
        <f t="shared" si="41"/>
        <v>1214.10625</v>
      </c>
    </row>
    <row r="330" spans="1:13" x14ac:dyDescent="0.4">
      <c r="A330" t="s">
        <v>23</v>
      </c>
      <c r="B330">
        <v>1</v>
      </c>
      <c r="C330" s="36">
        <v>100677.4</v>
      </c>
      <c r="D330" s="1">
        <v>44682</v>
      </c>
      <c r="E330" s="35">
        <f t="shared" si="35"/>
        <v>0.6</v>
      </c>
      <c r="F330" s="37">
        <f t="shared" si="36"/>
        <v>50338.7</v>
      </c>
      <c r="G330" s="37">
        <f t="shared" si="37"/>
        <v>30203.219999999998</v>
      </c>
      <c r="H330" s="36" cm="1">
        <f t="array" ref="H330">SUMPRODUCT((C330&gt;tier_floor)*((C330-tier_floor)*step)*margin_rate)</f>
        <v>19078.22</v>
      </c>
      <c r="I330" s="37">
        <f t="shared" si="38"/>
        <v>11124.999999999996</v>
      </c>
      <c r="J330" s="38">
        <f t="shared" si="39"/>
        <v>2022</v>
      </c>
      <c r="K330" s="128">
        <f>(1+target)^($J330-(MIN(tbl_rep_mon[year])))</f>
        <v>1.1499999999999999</v>
      </c>
      <c r="L330" s="35">
        <f t="shared" si="40"/>
        <v>0.51</v>
      </c>
      <c r="M330" s="37">
        <f t="shared" si="41"/>
        <v>25672.736999999997</v>
      </c>
    </row>
    <row r="331" spans="1:13" x14ac:dyDescent="0.4">
      <c r="A331" t="s">
        <v>24</v>
      </c>
      <c r="B331">
        <v>3</v>
      </c>
      <c r="C331" s="36">
        <v>50744.97</v>
      </c>
      <c r="D331" s="1">
        <v>44682</v>
      </c>
      <c r="E331" s="35">
        <f t="shared" si="35"/>
        <v>0.42</v>
      </c>
      <c r="F331" s="37">
        <f t="shared" si="36"/>
        <v>25372.485000000001</v>
      </c>
      <c r="G331" s="37">
        <f t="shared" si="37"/>
        <v>10656.4437</v>
      </c>
      <c r="H331" s="36" cm="1">
        <f t="array" ref="H331">SUMPRODUCT((C331&gt;tier_floor)*((C331-tier_floor)*step)*margin_rate)</f>
        <v>7406.4437000000007</v>
      </c>
      <c r="I331" s="37">
        <f t="shared" si="38"/>
        <v>3249.9999999999991</v>
      </c>
      <c r="J331" s="38">
        <f t="shared" si="39"/>
        <v>2022</v>
      </c>
      <c r="K331" s="128">
        <f>(1+target)^($J331-(MIN(tbl_rep_mon[year])))</f>
        <v>1.1499999999999999</v>
      </c>
      <c r="L331" s="35">
        <f t="shared" si="40"/>
        <v>0.33</v>
      </c>
      <c r="M331" s="37">
        <f t="shared" si="41"/>
        <v>8372.9200500000006</v>
      </c>
    </row>
    <row r="332" spans="1:13" x14ac:dyDescent="0.4">
      <c r="A332" t="s">
        <v>25</v>
      </c>
      <c r="B332">
        <v>2</v>
      </c>
      <c r="C332" s="36">
        <v>79952.399999999994</v>
      </c>
      <c r="D332" s="1">
        <v>44682</v>
      </c>
      <c r="E332" s="35">
        <f t="shared" si="35"/>
        <v>0.51</v>
      </c>
      <c r="F332" s="37">
        <f t="shared" si="36"/>
        <v>39976.199999999997</v>
      </c>
      <c r="G332" s="37">
        <f t="shared" si="37"/>
        <v>20387.861999999997</v>
      </c>
      <c r="H332" s="36" cm="1">
        <f t="array" ref="H332">SUMPRODUCT((C332&gt;tier_floor)*((C332-tier_floor)*step)*margin_rate)</f>
        <v>13762.861999999997</v>
      </c>
      <c r="I332" s="37">
        <f t="shared" si="38"/>
        <v>6625</v>
      </c>
      <c r="J332" s="38">
        <f t="shared" si="39"/>
        <v>2022</v>
      </c>
      <c r="K332" s="128">
        <f>(1+target)^($J332-(MIN(tbl_rep_mon[year])))</f>
        <v>1.1499999999999999</v>
      </c>
      <c r="L332" s="35">
        <f t="shared" si="40"/>
        <v>0.42</v>
      </c>
      <c r="M332" s="37">
        <f t="shared" si="41"/>
        <v>16790.003999999997</v>
      </c>
    </row>
    <row r="333" spans="1:13" x14ac:dyDescent="0.4">
      <c r="A333" t="s">
        <v>26</v>
      </c>
      <c r="B333">
        <v>2</v>
      </c>
      <c r="C333" s="36">
        <v>60465.34</v>
      </c>
      <c r="D333" s="1">
        <v>44682</v>
      </c>
      <c r="E333" s="35">
        <f t="shared" si="35"/>
        <v>0.42</v>
      </c>
      <c r="F333" s="37">
        <f t="shared" si="36"/>
        <v>30232.67</v>
      </c>
      <c r="G333" s="37">
        <f t="shared" si="37"/>
        <v>12697.721399999999</v>
      </c>
      <c r="H333" s="36" cm="1">
        <f t="array" ref="H333">SUMPRODUCT((C333&gt;tier_floor)*((C333-tier_floor)*step)*margin_rate)</f>
        <v>9447.7214000000004</v>
      </c>
      <c r="I333" s="37">
        <f t="shared" si="38"/>
        <v>3249.9999999999982</v>
      </c>
      <c r="J333" s="38">
        <f t="shared" si="39"/>
        <v>2022</v>
      </c>
      <c r="K333" s="128">
        <f>(1+target)^($J333-(MIN(tbl_rep_mon[year])))</f>
        <v>1.1499999999999999</v>
      </c>
      <c r="L333" s="35">
        <f t="shared" si="40"/>
        <v>0.42</v>
      </c>
      <c r="M333" s="37">
        <f t="shared" si="41"/>
        <v>12697.721399999999</v>
      </c>
    </row>
    <row r="334" spans="1:13" x14ac:dyDescent="0.4">
      <c r="A334" t="s">
        <v>27</v>
      </c>
      <c r="B334">
        <v>4</v>
      </c>
      <c r="C334" s="36">
        <v>59918.92</v>
      </c>
      <c r="D334" s="1">
        <v>44682</v>
      </c>
      <c r="E334" s="35">
        <f t="shared" si="35"/>
        <v>0.42</v>
      </c>
      <c r="F334" s="37">
        <f t="shared" si="36"/>
        <v>29959.46</v>
      </c>
      <c r="G334" s="37">
        <f t="shared" si="37"/>
        <v>12582.973199999999</v>
      </c>
      <c r="H334" s="36" cm="1">
        <f t="array" ref="H334">SUMPRODUCT((C334&gt;tier_floor)*((C334-tier_floor)*step)*margin_rate)</f>
        <v>9332.9732000000004</v>
      </c>
      <c r="I334" s="37">
        <f t="shared" si="38"/>
        <v>3249.9999999999982</v>
      </c>
      <c r="J334" s="38">
        <f t="shared" si="39"/>
        <v>2022</v>
      </c>
      <c r="K334" s="128">
        <f>(1+target)^($J334-(MIN(tbl_rep_mon[year])))</f>
        <v>1.1499999999999999</v>
      </c>
      <c r="L334" s="35">
        <f t="shared" si="40"/>
        <v>0.42</v>
      </c>
      <c r="M334" s="37">
        <f t="shared" si="41"/>
        <v>12582.973199999999</v>
      </c>
    </row>
    <row r="335" spans="1:13" x14ac:dyDescent="0.4">
      <c r="A335" t="s">
        <v>28</v>
      </c>
      <c r="B335">
        <v>2</v>
      </c>
      <c r="C335" s="36">
        <v>63419.12</v>
      </c>
      <c r="D335" s="1">
        <v>44682</v>
      </c>
      <c r="E335" s="35">
        <f t="shared" si="35"/>
        <v>0.42</v>
      </c>
      <c r="F335" s="37">
        <f t="shared" si="36"/>
        <v>31709.56</v>
      </c>
      <c r="G335" s="37">
        <f t="shared" si="37"/>
        <v>13318.0152</v>
      </c>
      <c r="H335" s="36" cm="1">
        <f t="array" ref="H335">SUMPRODUCT((C335&gt;tier_floor)*((C335-tier_floor)*step)*margin_rate)</f>
        <v>10068.0152</v>
      </c>
      <c r="I335" s="37">
        <f t="shared" si="38"/>
        <v>3250</v>
      </c>
      <c r="J335" s="38">
        <f t="shared" si="39"/>
        <v>2022</v>
      </c>
      <c r="K335" s="128">
        <f>(1+target)^($J335-(MIN(tbl_rep_mon[year])))</f>
        <v>1.1499999999999999</v>
      </c>
      <c r="L335" s="35">
        <f t="shared" si="40"/>
        <v>0.42</v>
      </c>
      <c r="M335" s="37">
        <f t="shared" si="41"/>
        <v>13318.0152</v>
      </c>
    </row>
    <row r="336" spans="1:13" x14ac:dyDescent="0.4">
      <c r="A336" t="s">
        <v>29</v>
      </c>
      <c r="B336">
        <v>1</v>
      </c>
      <c r="C336" s="36">
        <v>81925.42</v>
      </c>
      <c r="D336" s="1">
        <v>44682</v>
      </c>
      <c r="E336" s="35">
        <f t="shared" si="35"/>
        <v>0.51</v>
      </c>
      <c r="F336" s="37">
        <f t="shared" si="36"/>
        <v>40962.71</v>
      </c>
      <c r="G336" s="37">
        <f t="shared" si="37"/>
        <v>20890.982100000001</v>
      </c>
      <c r="H336" s="36" cm="1">
        <f t="array" ref="H336">SUMPRODUCT((C336&gt;tier_floor)*((C336-tier_floor)*step)*margin_rate)</f>
        <v>14265.982099999997</v>
      </c>
      <c r="I336" s="37">
        <f t="shared" si="38"/>
        <v>6625.0000000000036</v>
      </c>
      <c r="J336" s="38">
        <f t="shared" si="39"/>
        <v>2022</v>
      </c>
      <c r="K336" s="128">
        <f>(1+target)^($J336-(MIN(tbl_rep_mon[year])))</f>
        <v>1.1499999999999999</v>
      </c>
      <c r="L336" s="35">
        <f t="shared" si="40"/>
        <v>0.42</v>
      </c>
      <c r="M336" s="37">
        <f t="shared" si="41"/>
        <v>17204.338199999998</v>
      </c>
    </row>
    <row r="337" spans="1:13" x14ac:dyDescent="0.4">
      <c r="A337" t="s">
        <v>30</v>
      </c>
      <c r="B337">
        <v>4</v>
      </c>
      <c r="C337" s="36">
        <v>66285.78</v>
      </c>
      <c r="D337" s="1">
        <v>44682</v>
      </c>
      <c r="E337" s="35">
        <f t="shared" si="35"/>
        <v>0.42</v>
      </c>
      <c r="F337" s="37">
        <f t="shared" si="36"/>
        <v>33142.89</v>
      </c>
      <c r="G337" s="37">
        <f t="shared" si="37"/>
        <v>13920.013799999999</v>
      </c>
      <c r="H337" s="36" cm="1">
        <f t="array" ref="H337">SUMPRODUCT((C337&gt;tier_floor)*((C337-tier_floor)*step)*margin_rate)</f>
        <v>10670.013800000001</v>
      </c>
      <c r="I337" s="37">
        <f t="shared" si="38"/>
        <v>3249.9999999999982</v>
      </c>
      <c r="J337" s="38">
        <f t="shared" si="39"/>
        <v>2022</v>
      </c>
      <c r="K337" s="128">
        <f>(1+target)^($J337-(MIN(tbl_rep_mon[year])))</f>
        <v>1.1499999999999999</v>
      </c>
      <c r="L337" s="35">
        <f t="shared" si="40"/>
        <v>0.42</v>
      </c>
      <c r="M337" s="37">
        <f t="shared" si="41"/>
        <v>13920.013799999999</v>
      </c>
    </row>
    <row r="338" spans="1:13" x14ac:dyDescent="0.4">
      <c r="A338" t="s">
        <v>31</v>
      </c>
      <c r="B338">
        <v>4</v>
      </c>
      <c r="C338" s="36">
        <v>45425.29</v>
      </c>
      <c r="D338" s="1">
        <v>44682</v>
      </c>
      <c r="E338" s="35">
        <f t="shared" si="35"/>
        <v>0.33</v>
      </c>
      <c r="F338" s="37">
        <f t="shared" si="36"/>
        <v>22712.645</v>
      </c>
      <c r="G338" s="37">
        <f t="shared" si="37"/>
        <v>7495.1728500000008</v>
      </c>
      <c r="H338" s="36" cm="1">
        <f t="array" ref="H338">SUMPRODUCT((C338&gt;tier_floor)*((C338-tier_floor)*step)*margin_rate)</f>
        <v>6495.1728499999999</v>
      </c>
      <c r="I338" s="37">
        <f t="shared" si="38"/>
        <v>1000.0000000000009</v>
      </c>
      <c r="J338" s="38">
        <f t="shared" si="39"/>
        <v>2022</v>
      </c>
      <c r="K338" s="128">
        <f>(1+target)^($J338-(MIN(tbl_rep_mon[year])))</f>
        <v>1.1499999999999999</v>
      </c>
      <c r="L338" s="35">
        <f t="shared" si="40"/>
        <v>0.33</v>
      </c>
      <c r="M338" s="37">
        <f t="shared" si="41"/>
        <v>7495.1728500000008</v>
      </c>
    </row>
    <row r="339" spans="1:13" x14ac:dyDescent="0.4">
      <c r="A339" t="s">
        <v>32</v>
      </c>
      <c r="B339">
        <v>4</v>
      </c>
      <c r="C339" s="36">
        <v>81054.3</v>
      </c>
      <c r="D339" s="1">
        <v>44682</v>
      </c>
      <c r="E339" s="35">
        <f t="shared" si="35"/>
        <v>0.51</v>
      </c>
      <c r="F339" s="37">
        <f t="shared" si="36"/>
        <v>40527.15</v>
      </c>
      <c r="G339" s="37">
        <f t="shared" si="37"/>
        <v>20668.8465</v>
      </c>
      <c r="H339" s="36" cm="1">
        <f t="array" ref="H339">SUMPRODUCT((C339&gt;tier_floor)*((C339-tier_floor)*step)*margin_rate)</f>
        <v>14043.8465</v>
      </c>
      <c r="I339" s="37">
        <f t="shared" si="38"/>
        <v>6625</v>
      </c>
      <c r="J339" s="38">
        <f t="shared" si="39"/>
        <v>2022</v>
      </c>
      <c r="K339" s="128">
        <f>(1+target)^($J339-(MIN(tbl_rep_mon[year])))</f>
        <v>1.1499999999999999</v>
      </c>
      <c r="L339" s="35">
        <f t="shared" si="40"/>
        <v>0.42</v>
      </c>
      <c r="M339" s="37">
        <f t="shared" si="41"/>
        <v>17021.402999999998</v>
      </c>
    </row>
    <row r="340" spans="1:13" x14ac:dyDescent="0.4">
      <c r="A340" t="s">
        <v>33</v>
      </c>
      <c r="B340">
        <v>3</v>
      </c>
      <c r="C340" s="36">
        <v>51798.15</v>
      </c>
      <c r="D340" s="1">
        <v>44682</v>
      </c>
      <c r="E340" s="35">
        <f t="shared" si="35"/>
        <v>0.42</v>
      </c>
      <c r="F340" s="37">
        <f t="shared" si="36"/>
        <v>25899.075000000001</v>
      </c>
      <c r="G340" s="37">
        <f t="shared" si="37"/>
        <v>10877.611499999999</v>
      </c>
      <c r="H340" s="36" cm="1">
        <f t="array" ref="H340">SUMPRODUCT((C340&gt;tier_floor)*((C340-tier_floor)*step)*margin_rate)</f>
        <v>7627.6115000000009</v>
      </c>
      <c r="I340" s="37">
        <f t="shared" si="38"/>
        <v>3249.9999999999982</v>
      </c>
      <c r="J340" s="38">
        <f t="shared" si="39"/>
        <v>2022</v>
      </c>
      <c r="K340" s="128">
        <f>(1+target)^($J340-(MIN(tbl_rep_mon[year])))</f>
        <v>1.1499999999999999</v>
      </c>
      <c r="L340" s="35">
        <f t="shared" si="40"/>
        <v>0.33</v>
      </c>
      <c r="M340" s="37">
        <f t="shared" si="41"/>
        <v>8546.6947500000006</v>
      </c>
    </row>
    <row r="341" spans="1:13" x14ac:dyDescent="0.4">
      <c r="A341" t="s">
        <v>6</v>
      </c>
      <c r="B341">
        <v>2</v>
      </c>
      <c r="C341" s="36">
        <v>55539</v>
      </c>
      <c r="D341" s="1">
        <v>44713</v>
      </c>
      <c r="E341" s="35">
        <f t="shared" si="35"/>
        <v>0.42</v>
      </c>
      <c r="F341" s="37">
        <f t="shared" si="36"/>
        <v>27769.5</v>
      </c>
      <c r="G341" s="37">
        <f t="shared" si="37"/>
        <v>11663.189999999999</v>
      </c>
      <c r="H341" s="36" cm="1">
        <f t="array" ref="H341">SUMPRODUCT((C341&gt;tier_floor)*((C341-tier_floor)*step)*margin_rate)</f>
        <v>8413.19</v>
      </c>
      <c r="I341" s="37">
        <f t="shared" si="38"/>
        <v>3249.9999999999982</v>
      </c>
      <c r="J341" s="38">
        <f t="shared" si="39"/>
        <v>2022</v>
      </c>
      <c r="K341" s="128">
        <f>(1+target)^($J341-(MIN(tbl_rep_mon[year])))</f>
        <v>1.1499999999999999</v>
      </c>
      <c r="L341" s="35">
        <f t="shared" si="40"/>
        <v>0.33</v>
      </c>
      <c r="M341" s="37">
        <f t="shared" si="41"/>
        <v>9163.9350000000013</v>
      </c>
    </row>
    <row r="342" spans="1:13" x14ac:dyDescent="0.4">
      <c r="A342" t="s">
        <v>7</v>
      </c>
      <c r="B342">
        <v>4</v>
      </c>
      <c r="C342" s="36">
        <v>69532.36</v>
      </c>
      <c r="D342" s="1">
        <v>44713</v>
      </c>
      <c r="E342" s="35">
        <f t="shared" si="35"/>
        <v>0.42</v>
      </c>
      <c r="F342" s="37">
        <f t="shared" si="36"/>
        <v>34766.18</v>
      </c>
      <c r="G342" s="37">
        <f t="shared" si="37"/>
        <v>14601.795599999999</v>
      </c>
      <c r="H342" s="36" cm="1">
        <f t="array" ref="H342">SUMPRODUCT((C342&gt;tier_floor)*((C342-tier_floor)*step)*margin_rate)</f>
        <v>11351.795600000001</v>
      </c>
      <c r="I342" s="37">
        <f t="shared" si="38"/>
        <v>3249.9999999999982</v>
      </c>
      <c r="J342" s="38">
        <f t="shared" si="39"/>
        <v>2022</v>
      </c>
      <c r="K342" s="128">
        <f>(1+target)^($J342-(MIN(tbl_rep_mon[year])))</f>
        <v>1.1499999999999999</v>
      </c>
      <c r="L342" s="35">
        <f t="shared" si="40"/>
        <v>0.42</v>
      </c>
      <c r="M342" s="37">
        <f t="shared" si="41"/>
        <v>14601.795599999999</v>
      </c>
    </row>
    <row r="343" spans="1:13" x14ac:dyDescent="0.4">
      <c r="A343" t="s">
        <v>8</v>
      </c>
      <c r="B343">
        <v>4</v>
      </c>
      <c r="C343" s="36">
        <v>52544.76</v>
      </c>
      <c r="D343" s="1">
        <v>44713</v>
      </c>
      <c r="E343" s="35">
        <f t="shared" si="35"/>
        <v>0.42</v>
      </c>
      <c r="F343" s="37">
        <f t="shared" si="36"/>
        <v>26272.38</v>
      </c>
      <c r="G343" s="37">
        <f t="shared" si="37"/>
        <v>11034.399600000001</v>
      </c>
      <c r="H343" s="36" cm="1">
        <f t="array" ref="H343">SUMPRODUCT((C343&gt;tier_floor)*((C343-tier_floor)*step)*margin_rate)</f>
        <v>7784.3996000000006</v>
      </c>
      <c r="I343" s="37">
        <f t="shared" si="38"/>
        <v>3250</v>
      </c>
      <c r="J343" s="38">
        <f t="shared" si="39"/>
        <v>2022</v>
      </c>
      <c r="K343" s="128">
        <f>(1+target)^($J343-(MIN(tbl_rep_mon[year])))</f>
        <v>1.1499999999999999</v>
      </c>
      <c r="L343" s="35">
        <f t="shared" si="40"/>
        <v>0.33</v>
      </c>
      <c r="M343" s="37">
        <f t="shared" si="41"/>
        <v>8669.885400000001</v>
      </c>
    </row>
    <row r="344" spans="1:13" x14ac:dyDescent="0.4">
      <c r="A344" t="s">
        <v>12</v>
      </c>
      <c r="B344">
        <v>2</v>
      </c>
      <c r="C344" s="36">
        <v>70718.19</v>
      </c>
      <c r="D344" s="1">
        <v>44713</v>
      </c>
      <c r="E344" s="35">
        <f t="shared" si="35"/>
        <v>0.42</v>
      </c>
      <c r="F344" s="37">
        <f t="shared" si="36"/>
        <v>35359.095000000001</v>
      </c>
      <c r="G344" s="37">
        <f t="shared" si="37"/>
        <v>14850.8199</v>
      </c>
      <c r="H344" s="36" cm="1">
        <f t="array" ref="H344">SUMPRODUCT((C344&gt;tier_floor)*((C344-tier_floor)*step)*margin_rate)</f>
        <v>11600.8199</v>
      </c>
      <c r="I344" s="37">
        <f t="shared" si="38"/>
        <v>3250</v>
      </c>
      <c r="J344" s="38">
        <f t="shared" si="39"/>
        <v>2022</v>
      </c>
      <c r="K344" s="128">
        <f>(1+target)^($J344-(MIN(tbl_rep_mon[year])))</f>
        <v>1.1499999999999999</v>
      </c>
      <c r="L344" s="35">
        <f t="shared" si="40"/>
        <v>0.42</v>
      </c>
      <c r="M344" s="37">
        <f t="shared" si="41"/>
        <v>14850.8199</v>
      </c>
    </row>
    <row r="345" spans="1:13" x14ac:dyDescent="0.4">
      <c r="A345" t="s">
        <v>15</v>
      </c>
      <c r="B345">
        <v>3</v>
      </c>
      <c r="C345" s="36">
        <v>71118.080000000002</v>
      </c>
      <c r="D345" s="1">
        <v>44713</v>
      </c>
      <c r="E345" s="35">
        <f t="shared" si="35"/>
        <v>0.42</v>
      </c>
      <c r="F345" s="37">
        <f t="shared" si="36"/>
        <v>35559.040000000001</v>
      </c>
      <c r="G345" s="37">
        <f t="shared" si="37"/>
        <v>14934.7968</v>
      </c>
      <c r="H345" s="36" cm="1">
        <f t="array" ref="H345">SUMPRODUCT((C345&gt;tier_floor)*((C345-tier_floor)*step)*margin_rate)</f>
        <v>11684.7968</v>
      </c>
      <c r="I345" s="37">
        <f t="shared" si="38"/>
        <v>3250</v>
      </c>
      <c r="J345" s="38">
        <f t="shared" si="39"/>
        <v>2022</v>
      </c>
      <c r="K345" s="128">
        <f>(1+target)^($J345-(MIN(tbl_rep_mon[year])))</f>
        <v>1.1499999999999999</v>
      </c>
      <c r="L345" s="35">
        <f t="shared" si="40"/>
        <v>0.42</v>
      </c>
      <c r="M345" s="37">
        <f t="shared" si="41"/>
        <v>14934.7968</v>
      </c>
    </row>
    <row r="346" spans="1:13" x14ac:dyDescent="0.4">
      <c r="A346" t="s">
        <v>16</v>
      </c>
      <c r="B346">
        <v>3</v>
      </c>
      <c r="C346" s="36">
        <v>70138.37</v>
      </c>
      <c r="D346" s="1">
        <v>44713</v>
      </c>
      <c r="E346" s="35">
        <f t="shared" si="35"/>
        <v>0.42</v>
      </c>
      <c r="F346" s="37">
        <f t="shared" si="36"/>
        <v>35069.184999999998</v>
      </c>
      <c r="G346" s="37">
        <f t="shared" si="37"/>
        <v>14729.057699999999</v>
      </c>
      <c r="H346" s="36" cm="1">
        <f t="array" ref="H346">SUMPRODUCT((C346&gt;tier_floor)*((C346-tier_floor)*step)*margin_rate)</f>
        <v>11479.057699999998</v>
      </c>
      <c r="I346" s="37">
        <f t="shared" si="38"/>
        <v>3250.0000000000018</v>
      </c>
      <c r="J346" s="38">
        <f t="shared" si="39"/>
        <v>2022</v>
      </c>
      <c r="K346" s="128">
        <f>(1+target)^($J346-(MIN(tbl_rep_mon[year])))</f>
        <v>1.1499999999999999</v>
      </c>
      <c r="L346" s="35">
        <f t="shared" si="40"/>
        <v>0.42</v>
      </c>
      <c r="M346" s="37">
        <f t="shared" si="41"/>
        <v>14729.057699999999</v>
      </c>
    </row>
    <row r="347" spans="1:13" x14ac:dyDescent="0.4">
      <c r="A347" t="s">
        <v>18</v>
      </c>
      <c r="B347">
        <v>3</v>
      </c>
      <c r="C347" s="36">
        <v>67756.639999999999</v>
      </c>
      <c r="D347" s="1">
        <v>44713</v>
      </c>
      <c r="E347" s="35">
        <f t="shared" si="35"/>
        <v>0.42</v>
      </c>
      <c r="F347" s="37">
        <f t="shared" si="36"/>
        <v>33878.32</v>
      </c>
      <c r="G347" s="37">
        <f t="shared" si="37"/>
        <v>14228.894399999999</v>
      </c>
      <c r="H347" s="36" cm="1">
        <f t="array" ref="H347">SUMPRODUCT((C347&gt;tier_floor)*((C347-tier_floor)*step)*margin_rate)</f>
        <v>10978.894400000001</v>
      </c>
      <c r="I347" s="37">
        <f t="shared" si="38"/>
        <v>3249.9999999999982</v>
      </c>
      <c r="J347" s="38">
        <f t="shared" si="39"/>
        <v>2022</v>
      </c>
      <c r="K347" s="128">
        <f>(1+target)^($J347-(MIN(tbl_rep_mon[year])))</f>
        <v>1.1499999999999999</v>
      </c>
      <c r="L347" s="35">
        <f t="shared" si="40"/>
        <v>0.42</v>
      </c>
      <c r="M347" s="37">
        <f t="shared" si="41"/>
        <v>14228.894399999999</v>
      </c>
    </row>
    <row r="348" spans="1:13" x14ac:dyDescent="0.4">
      <c r="A348" t="s">
        <v>19</v>
      </c>
      <c r="B348">
        <v>4</v>
      </c>
      <c r="C348" s="36">
        <v>61848.81</v>
      </c>
      <c r="D348" s="1">
        <v>44713</v>
      </c>
      <c r="E348" s="35">
        <f t="shared" si="35"/>
        <v>0.42</v>
      </c>
      <c r="F348" s="37">
        <f t="shared" si="36"/>
        <v>30924.404999999999</v>
      </c>
      <c r="G348" s="37">
        <f t="shared" si="37"/>
        <v>12988.250099999999</v>
      </c>
      <c r="H348" s="36" cm="1">
        <f t="array" ref="H348">SUMPRODUCT((C348&gt;tier_floor)*((C348-tier_floor)*step)*margin_rate)</f>
        <v>9738.2500999999993</v>
      </c>
      <c r="I348" s="37">
        <f t="shared" si="38"/>
        <v>3250</v>
      </c>
      <c r="J348" s="38">
        <f t="shared" si="39"/>
        <v>2022</v>
      </c>
      <c r="K348" s="128">
        <f>(1+target)^($J348-(MIN(tbl_rep_mon[year])))</f>
        <v>1.1499999999999999</v>
      </c>
      <c r="L348" s="35">
        <f t="shared" si="40"/>
        <v>0.42</v>
      </c>
      <c r="M348" s="37">
        <f t="shared" si="41"/>
        <v>12988.250099999999</v>
      </c>
    </row>
    <row r="349" spans="1:13" x14ac:dyDescent="0.4">
      <c r="A349" t="s">
        <v>23</v>
      </c>
      <c r="B349">
        <v>1</v>
      </c>
      <c r="C349" s="36">
        <v>116839.08</v>
      </c>
      <c r="D349" s="1">
        <v>44713</v>
      </c>
      <c r="E349" s="35">
        <f t="shared" si="35"/>
        <v>0.6</v>
      </c>
      <c r="F349" s="37">
        <f t="shared" si="36"/>
        <v>58419.54</v>
      </c>
      <c r="G349" s="37">
        <f t="shared" si="37"/>
        <v>35051.724000000002</v>
      </c>
      <c r="H349" s="36" cm="1">
        <f t="array" ref="H349">SUMPRODUCT((C349&gt;tier_floor)*((C349-tier_floor)*step)*margin_rate)</f>
        <v>23926.724000000002</v>
      </c>
      <c r="I349" s="37">
        <f t="shared" si="38"/>
        <v>11125</v>
      </c>
      <c r="J349" s="38">
        <f t="shared" si="39"/>
        <v>2022</v>
      </c>
      <c r="K349" s="128">
        <f>(1+target)^($J349-(MIN(tbl_rep_mon[year])))</f>
        <v>1.1499999999999999</v>
      </c>
      <c r="L349" s="35">
        <f t="shared" si="40"/>
        <v>0.6</v>
      </c>
      <c r="M349" s="37">
        <f t="shared" si="41"/>
        <v>35051.724000000002</v>
      </c>
    </row>
    <row r="350" spans="1:13" x14ac:dyDescent="0.4">
      <c r="A350" t="s">
        <v>24</v>
      </c>
      <c r="B350">
        <v>3</v>
      </c>
      <c r="C350" s="36">
        <v>60843.57</v>
      </c>
      <c r="D350" s="1">
        <v>44713</v>
      </c>
      <c r="E350" s="35">
        <f t="shared" si="35"/>
        <v>0.42</v>
      </c>
      <c r="F350" s="37">
        <f t="shared" si="36"/>
        <v>30421.785</v>
      </c>
      <c r="G350" s="37">
        <f t="shared" si="37"/>
        <v>12777.1497</v>
      </c>
      <c r="H350" s="36" cm="1">
        <f t="array" ref="H350">SUMPRODUCT((C350&gt;tier_floor)*((C350-tier_floor)*step)*margin_rate)</f>
        <v>9527.1496999999999</v>
      </c>
      <c r="I350" s="37">
        <f t="shared" si="38"/>
        <v>3250</v>
      </c>
      <c r="J350" s="38">
        <f t="shared" si="39"/>
        <v>2022</v>
      </c>
      <c r="K350" s="128">
        <f>(1+target)^($J350-(MIN(tbl_rep_mon[year])))</f>
        <v>1.1499999999999999</v>
      </c>
      <c r="L350" s="35">
        <f t="shared" si="40"/>
        <v>0.42</v>
      </c>
      <c r="M350" s="37">
        <f t="shared" si="41"/>
        <v>12777.1497</v>
      </c>
    </row>
    <row r="351" spans="1:13" x14ac:dyDescent="0.4">
      <c r="A351" t="s">
        <v>25</v>
      </c>
      <c r="B351">
        <v>2</v>
      </c>
      <c r="C351" s="36">
        <v>66443.520000000004</v>
      </c>
      <c r="D351" s="1">
        <v>44713</v>
      </c>
      <c r="E351" s="35">
        <f t="shared" si="35"/>
        <v>0.42</v>
      </c>
      <c r="F351" s="37">
        <f t="shared" si="36"/>
        <v>33221.760000000002</v>
      </c>
      <c r="G351" s="37">
        <f t="shared" si="37"/>
        <v>13953.1392</v>
      </c>
      <c r="H351" s="36" cm="1">
        <f t="array" ref="H351">SUMPRODUCT((C351&gt;tier_floor)*((C351-tier_floor)*step)*margin_rate)</f>
        <v>10703.139200000001</v>
      </c>
      <c r="I351" s="37">
        <f t="shared" si="38"/>
        <v>3249.9999999999982</v>
      </c>
      <c r="J351" s="38">
        <f t="shared" si="39"/>
        <v>2022</v>
      </c>
      <c r="K351" s="128">
        <f>(1+target)^($J351-(MIN(tbl_rep_mon[year])))</f>
        <v>1.1499999999999999</v>
      </c>
      <c r="L351" s="35">
        <f t="shared" si="40"/>
        <v>0.42</v>
      </c>
      <c r="M351" s="37">
        <f t="shared" si="41"/>
        <v>13953.1392</v>
      </c>
    </row>
    <row r="352" spans="1:13" x14ac:dyDescent="0.4">
      <c r="A352" t="s">
        <v>26</v>
      </c>
      <c r="B352">
        <v>2</v>
      </c>
      <c r="C352" s="36">
        <v>74218.710000000006</v>
      </c>
      <c r="D352" s="1">
        <v>44713</v>
      </c>
      <c r="E352" s="35">
        <f t="shared" si="35"/>
        <v>0.42</v>
      </c>
      <c r="F352" s="37">
        <f t="shared" si="36"/>
        <v>37109.355000000003</v>
      </c>
      <c r="G352" s="37">
        <f t="shared" si="37"/>
        <v>15585.929100000001</v>
      </c>
      <c r="H352" s="36" cm="1">
        <f t="array" ref="H352">SUMPRODUCT((C352&gt;tier_floor)*((C352-tier_floor)*step)*margin_rate)</f>
        <v>12335.929100000001</v>
      </c>
      <c r="I352" s="37">
        <f t="shared" si="38"/>
        <v>3250</v>
      </c>
      <c r="J352" s="38">
        <f t="shared" si="39"/>
        <v>2022</v>
      </c>
      <c r="K352" s="128">
        <f>(1+target)^($J352-(MIN(tbl_rep_mon[year])))</f>
        <v>1.1499999999999999</v>
      </c>
      <c r="L352" s="35">
        <f t="shared" si="40"/>
        <v>0.42</v>
      </c>
      <c r="M352" s="37">
        <f t="shared" si="41"/>
        <v>15585.929100000001</v>
      </c>
    </row>
    <row r="353" spans="1:13" x14ac:dyDescent="0.4">
      <c r="A353" t="s">
        <v>27</v>
      </c>
      <c r="B353">
        <v>4</v>
      </c>
      <c r="C353" s="36">
        <v>38537.839999999997</v>
      </c>
      <c r="D353" s="1">
        <v>44713</v>
      </c>
      <c r="E353" s="35">
        <f t="shared" si="35"/>
        <v>0.33</v>
      </c>
      <c r="F353" s="37">
        <f t="shared" si="36"/>
        <v>19268.919999999998</v>
      </c>
      <c r="G353" s="37">
        <f t="shared" si="37"/>
        <v>6358.7435999999998</v>
      </c>
      <c r="H353" s="36" cm="1">
        <f t="array" ref="H353">SUMPRODUCT((C353&gt;tier_floor)*((C353-tier_floor)*step)*margin_rate)</f>
        <v>5358.7435999999998</v>
      </c>
      <c r="I353" s="37">
        <f t="shared" si="38"/>
        <v>1000</v>
      </c>
      <c r="J353" s="38">
        <f t="shared" si="39"/>
        <v>2022</v>
      </c>
      <c r="K353" s="128">
        <f>(1+target)^($J353-(MIN(tbl_rep_mon[year])))</f>
        <v>1.1499999999999999</v>
      </c>
      <c r="L353" s="35">
        <f t="shared" si="40"/>
        <v>0.33</v>
      </c>
      <c r="M353" s="37">
        <f t="shared" si="41"/>
        <v>6358.7435999999998</v>
      </c>
    </row>
    <row r="354" spans="1:13" x14ac:dyDescent="0.4">
      <c r="A354" t="s">
        <v>28</v>
      </c>
      <c r="B354">
        <v>2</v>
      </c>
      <c r="C354" s="36">
        <v>62086.23</v>
      </c>
      <c r="D354" s="1">
        <v>44713</v>
      </c>
      <c r="E354" s="35">
        <f t="shared" si="35"/>
        <v>0.42</v>
      </c>
      <c r="F354" s="37">
        <f t="shared" si="36"/>
        <v>31043.115000000002</v>
      </c>
      <c r="G354" s="37">
        <f t="shared" si="37"/>
        <v>13038.1083</v>
      </c>
      <c r="H354" s="36" cm="1">
        <f t="array" ref="H354">SUMPRODUCT((C354&gt;tier_floor)*((C354-tier_floor)*step)*margin_rate)</f>
        <v>9788.1082999999999</v>
      </c>
      <c r="I354" s="37">
        <f t="shared" si="38"/>
        <v>3250</v>
      </c>
      <c r="J354" s="38">
        <f t="shared" si="39"/>
        <v>2022</v>
      </c>
      <c r="K354" s="128">
        <f>(1+target)^($J354-(MIN(tbl_rep_mon[year])))</f>
        <v>1.1499999999999999</v>
      </c>
      <c r="L354" s="35">
        <f t="shared" si="40"/>
        <v>0.42</v>
      </c>
      <c r="M354" s="37">
        <f t="shared" si="41"/>
        <v>13038.1083</v>
      </c>
    </row>
    <row r="355" spans="1:13" x14ac:dyDescent="0.4">
      <c r="A355" t="s">
        <v>29</v>
      </c>
      <c r="B355">
        <v>1</v>
      </c>
      <c r="C355" s="36">
        <v>94419.36</v>
      </c>
      <c r="D355" s="1">
        <v>44713</v>
      </c>
      <c r="E355" s="35">
        <f t="shared" si="35"/>
        <v>0.51</v>
      </c>
      <c r="F355" s="37">
        <f t="shared" si="36"/>
        <v>47209.68</v>
      </c>
      <c r="G355" s="37">
        <f t="shared" si="37"/>
        <v>24076.936799999999</v>
      </c>
      <c r="H355" s="36" cm="1">
        <f t="array" ref="H355">SUMPRODUCT((C355&gt;tier_floor)*((C355-tier_floor)*step)*margin_rate)</f>
        <v>17451.936799999999</v>
      </c>
      <c r="I355" s="37">
        <f t="shared" si="38"/>
        <v>6625</v>
      </c>
      <c r="J355" s="38">
        <f t="shared" si="39"/>
        <v>2022</v>
      </c>
      <c r="K355" s="128">
        <f>(1+target)^($J355-(MIN(tbl_rep_mon[year])))</f>
        <v>1.1499999999999999</v>
      </c>
      <c r="L355" s="35">
        <f t="shared" si="40"/>
        <v>0.51</v>
      </c>
      <c r="M355" s="37">
        <f t="shared" si="41"/>
        <v>24076.936799999999</v>
      </c>
    </row>
    <row r="356" spans="1:13" x14ac:dyDescent="0.4">
      <c r="A356" t="s">
        <v>30</v>
      </c>
      <c r="B356">
        <v>4</v>
      </c>
      <c r="C356" s="36">
        <v>54238.5</v>
      </c>
      <c r="D356" s="1">
        <v>44713</v>
      </c>
      <c r="E356" s="35">
        <f t="shared" si="35"/>
        <v>0.42</v>
      </c>
      <c r="F356" s="37">
        <f t="shared" si="36"/>
        <v>27119.25</v>
      </c>
      <c r="G356" s="37">
        <f t="shared" si="37"/>
        <v>11390.084999999999</v>
      </c>
      <c r="H356" s="36" cm="1">
        <f t="array" ref="H356">SUMPRODUCT((C356&gt;tier_floor)*((C356-tier_floor)*step)*margin_rate)</f>
        <v>8140.085</v>
      </c>
      <c r="I356" s="37">
        <f t="shared" si="38"/>
        <v>3249.9999999999991</v>
      </c>
      <c r="J356" s="38">
        <f t="shared" si="39"/>
        <v>2022</v>
      </c>
      <c r="K356" s="128">
        <f>(1+target)^($J356-(MIN(tbl_rep_mon[year])))</f>
        <v>1.1499999999999999</v>
      </c>
      <c r="L356" s="35">
        <f t="shared" si="40"/>
        <v>0.33</v>
      </c>
      <c r="M356" s="37">
        <f t="shared" si="41"/>
        <v>8949.3525000000009</v>
      </c>
    </row>
    <row r="357" spans="1:13" x14ac:dyDescent="0.4">
      <c r="A357" t="s">
        <v>31</v>
      </c>
      <c r="B357">
        <v>4</v>
      </c>
      <c r="C357" s="36">
        <v>55532.25</v>
      </c>
      <c r="D357" s="1">
        <v>44713</v>
      </c>
      <c r="E357" s="35">
        <f t="shared" si="35"/>
        <v>0.42</v>
      </c>
      <c r="F357" s="37">
        <f t="shared" si="36"/>
        <v>27766.125</v>
      </c>
      <c r="G357" s="37">
        <f t="shared" si="37"/>
        <v>11661.772499999999</v>
      </c>
      <c r="H357" s="36" cm="1">
        <f t="array" ref="H357">SUMPRODUCT((C357&gt;tier_floor)*((C357-tier_floor)*step)*margin_rate)</f>
        <v>8411.7724999999991</v>
      </c>
      <c r="I357" s="37">
        <f t="shared" si="38"/>
        <v>3250</v>
      </c>
      <c r="J357" s="38">
        <f t="shared" si="39"/>
        <v>2022</v>
      </c>
      <c r="K357" s="128">
        <f>(1+target)^($J357-(MIN(tbl_rep_mon[year])))</f>
        <v>1.1499999999999999</v>
      </c>
      <c r="L357" s="35">
        <f t="shared" si="40"/>
        <v>0.33</v>
      </c>
      <c r="M357" s="37">
        <f t="shared" si="41"/>
        <v>9162.8212500000009</v>
      </c>
    </row>
    <row r="358" spans="1:13" x14ac:dyDescent="0.4">
      <c r="A358" t="s">
        <v>32</v>
      </c>
      <c r="B358">
        <v>4</v>
      </c>
      <c r="C358" s="36">
        <v>74326.399999999994</v>
      </c>
      <c r="D358" s="1">
        <v>44713</v>
      </c>
      <c r="E358" s="35">
        <f t="shared" si="35"/>
        <v>0.42</v>
      </c>
      <c r="F358" s="37">
        <f t="shared" si="36"/>
        <v>37163.199999999997</v>
      </c>
      <c r="G358" s="37">
        <f t="shared" si="37"/>
        <v>15608.543999999998</v>
      </c>
      <c r="H358" s="36" cm="1">
        <f t="array" ref="H358">SUMPRODUCT((C358&gt;tier_floor)*((C358-tier_floor)*step)*margin_rate)</f>
        <v>12358.544</v>
      </c>
      <c r="I358" s="37">
        <f t="shared" si="38"/>
        <v>3249.9999999999982</v>
      </c>
      <c r="J358" s="38">
        <f t="shared" si="39"/>
        <v>2022</v>
      </c>
      <c r="K358" s="128">
        <f>(1+target)^($J358-(MIN(tbl_rep_mon[year])))</f>
        <v>1.1499999999999999</v>
      </c>
      <c r="L358" s="35">
        <f t="shared" si="40"/>
        <v>0.42</v>
      </c>
      <c r="M358" s="37">
        <f t="shared" si="41"/>
        <v>15608.543999999998</v>
      </c>
    </row>
    <row r="359" spans="1:13" x14ac:dyDescent="0.4">
      <c r="A359" t="s">
        <v>33</v>
      </c>
      <c r="B359">
        <v>3</v>
      </c>
      <c r="C359" s="36">
        <v>53115.839999999997</v>
      </c>
      <c r="D359" s="1">
        <v>44713</v>
      </c>
      <c r="E359" s="35">
        <f t="shared" si="35"/>
        <v>0.42</v>
      </c>
      <c r="F359" s="37">
        <f t="shared" si="36"/>
        <v>26557.919999999998</v>
      </c>
      <c r="G359" s="37">
        <f t="shared" si="37"/>
        <v>11154.326399999998</v>
      </c>
      <c r="H359" s="36" cm="1">
        <f t="array" ref="H359">SUMPRODUCT((C359&gt;tier_floor)*((C359-tier_floor)*step)*margin_rate)</f>
        <v>7904.3263999999999</v>
      </c>
      <c r="I359" s="37">
        <f t="shared" si="38"/>
        <v>3249.9999999999982</v>
      </c>
      <c r="J359" s="38">
        <f t="shared" si="39"/>
        <v>2022</v>
      </c>
      <c r="K359" s="128">
        <f>(1+target)^($J359-(MIN(tbl_rep_mon[year])))</f>
        <v>1.1499999999999999</v>
      </c>
      <c r="L359" s="35">
        <f t="shared" si="40"/>
        <v>0.33</v>
      </c>
      <c r="M359" s="37">
        <f t="shared" si="41"/>
        <v>8764.1136000000006</v>
      </c>
    </row>
    <row r="360" spans="1:13" x14ac:dyDescent="0.4">
      <c r="A360" t="s">
        <v>34</v>
      </c>
      <c r="B360">
        <v>4</v>
      </c>
      <c r="C360" s="36">
        <v>25496.82</v>
      </c>
      <c r="D360" s="1">
        <v>44713</v>
      </c>
      <c r="E360" s="35">
        <f t="shared" si="35"/>
        <v>0.33</v>
      </c>
      <c r="F360" s="37">
        <f t="shared" si="36"/>
        <v>12748.41</v>
      </c>
      <c r="G360" s="37">
        <f t="shared" si="37"/>
        <v>4206.9753000000001</v>
      </c>
      <c r="H360" s="36" cm="1">
        <f t="array" ref="H360">SUMPRODUCT((C360&gt;tier_floor)*((C360-tier_floor)*step)*margin_rate)</f>
        <v>3206.9753000000001</v>
      </c>
      <c r="I360" s="37">
        <f t="shared" si="38"/>
        <v>1000</v>
      </c>
      <c r="J360" s="38">
        <f t="shared" si="39"/>
        <v>2022</v>
      </c>
      <c r="K360" s="128">
        <f>(1+target)^($J360-(MIN(tbl_rep_mon[year])))</f>
        <v>1.1499999999999999</v>
      </c>
      <c r="L360" s="35">
        <f t="shared" si="40"/>
        <v>0.25</v>
      </c>
      <c r="M360" s="37">
        <f t="shared" si="41"/>
        <v>3187.1025</v>
      </c>
    </row>
    <row r="361" spans="1:13" x14ac:dyDescent="0.4">
      <c r="A361" t="s">
        <v>6</v>
      </c>
      <c r="B361">
        <v>2</v>
      </c>
      <c r="C361" s="36">
        <v>54882.3</v>
      </c>
      <c r="D361" s="1">
        <v>44743</v>
      </c>
      <c r="E361" s="35">
        <f t="shared" si="35"/>
        <v>0.42</v>
      </c>
      <c r="F361" s="37">
        <f t="shared" si="36"/>
        <v>27441.15</v>
      </c>
      <c r="G361" s="37">
        <f t="shared" si="37"/>
        <v>11525.282999999999</v>
      </c>
      <c r="H361" s="36" cm="1">
        <f t="array" ref="H361">SUMPRODUCT((C361&gt;tier_floor)*((C361-tier_floor)*step)*margin_rate)</f>
        <v>8275.2830000000013</v>
      </c>
      <c r="I361" s="37">
        <f t="shared" si="38"/>
        <v>3249.9999999999982</v>
      </c>
      <c r="J361" s="38">
        <f t="shared" si="39"/>
        <v>2022</v>
      </c>
      <c r="K361" s="128">
        <f>(1+target)^($J361-(MIN(tbl_rep_mon[year])))</f>
        <v>1.1499999999999999</v>
      </c>
      <c r="L361" s="35">
        <f t="shared" si="40"/>
        <v>0.33</v>
      </c>
      <c r="M361" s="37">
        <f t="shared" si="41"/>
        <v>9055.5795000000016</v>
      </c>
    </row>
    <row r="362" spans="1:13" x14ac:dyDescent="0.4">
      <c r="A362" t="s">
        <v>7</v>
      </c>
      <c r="B362">
        <v>4</v>
      </c>
      <c r="C362" s="36">
        <v>46146.97</v>
      </c>
      <c r="D362" s="1">
        <v>44743</v>
      </c>
      <c r="E362" s="35">
        <f t="shared" si="35"/>
        <v>0.33</v>
      </c>
      <c r="F362" s="37">
        <f t="shared" si="36"/>
        <v>23073.485000000001</v>
      </c>
      <c r="G362" s="37">
        <f t="shared" si="37"/>
        <v>7614.2500500000006</v>
      </c>
      <c r="H362" s="36" cm="1">
        <f t="array" ref="H362">SUMPRODUCT((C362&gt;tier_floor)*((C362-tier_floor)*step)*margin_rate)</f>
        <v>6614.2500500000006</v>
      </c>
      <c r="I362" s="37">
        <f t="shared" si="38"/>
        <v>1000</v>
      </c>
      <c r="J362" s="38">
        <f t="shared" si="39"/>
        <v>2022</v>
      </c>
      <c r="K362" s="128">
        <f>(1+target)^($J362-(MIN(tbl_rep_mon[year])))</f>
        <v>1.1499999999999999</v>
      </c>
      <c r="L362" s="35">
        <f t="shared" si="40"/>
        <v>0.33</v>
      </c>
      <c r="M362" s="37">
        <f t="shared" si="41"/>
        <v>7614.2500500000006</v>
      </c>
    </row>
    <row r="363" spans="1:13" x14ac:dyDescent="0.4">
      <c r="A363" t="s">
        <v>8</v>
      </c>
      <c r="B363">
        <v>4</v>
      </c>
      <c r="C363" s="36">
        <v>70562.009999999995</v>
      </c>
      <c r="D363" s="1">
        <v>44743</v>
      </c>
      <c r="E363" s="35">
        <f t="shared" si="35"/>
        <v>0.42</v>
      </c>
      <c r="F363" s="37">
        <f t="shared" si="36"/>
        <v>35281.004999999997</v>
      </c>
      <c r="G363" s="37">
        <f t="shared" si="37"/>
        <v>14818.022099999998</v>
      </c>
      <c r="H363" s="36" cm="1">
        <f t="array" ref="H363">SUMPRODUCT((C363&gt;tier_floor)*((C363-tier_floor)*step)*margin_rate)</f>
        <v>11568.022099999998</v>
      </c>
      <c r="I363" s="37">
        <f t="shared" si="38"/>
        <v>3250</v>
      </c>
      <c r="J363" s="38">
        <f t="shared" si="39"/>
        <v>2022</v>
      </c>
      <c r="K363" s="128">
        <f>(1+target)^($J363-(MIN(tbl_rep_mon[year])))</f>
        <v>1.1499999999999999</v>
      </c>
      <c r="L363" s="35">
        <f t="shared" si="40"/>
        <v>0.42</v>
      </c>
      <c r="M363" s="37">
        <f t="shared" si="41"/>
        <v>14818.022099999998</v>
      </c>
    </row>
    <row r="364" spans="1:13" x14ac:dyDescent="0.4">
      <c r="A364" t="s">
        <v>12</v>
      </c>
      <c r="B364">
        <v>2</v>
      </c>
      <c r="C364" s="36">
        <v>68353.23</v>
      </c>
      <c r="D364" s="1">
        <v>44743</v>
      </c>
      <c r="E364" s="35">
        <f t="shared" si="35"/>
        <v>0.42</v>
      </c>
      <c r="F364" s="37">
        <f t="shared" si="36"/>
        <v>34176.614999999998</v>
      </c>
      <c r="G364" s="37">
        <f t="shared" si="37"/>
        <v>14354.178299999998</v>
      </c>
      <c r="H364" s="36" cm="1">
        <f t="array" ref="H364">SUMPRODUCT((C364&gt;tier_floor)*((C364-tier_floor)*step)*margin_rate)</f>
        <v>11104.178299999998</v>
      </c>
      <c r="I364" s="37">
        <f t="shared" si="38"/>
        <v>3250</v>
      </c>
      <c r="J364" s="38">
        <f t="shared" si="39"/>
        <v>2022</v>
      </c>
      <c r="K364" s="128">
        <f>(1+target)^($J364-(MIN(tbl_rep_mon[year])))</f>
        <v>1.1499999999999999</v>
      </c>
      <c r="L364" s="35">
        <f t="shared" si="40"/>
        <v>0.42</v>
      </c>
      <c r="M364" s="37">
        <f t="shared" si="41"/>
        <v>14354.178299999998</v>
      </c>
    </row>
    <row r="365" spans="1:13" x14ac:dyDescent="0.4">
      <c r="A365" t="s">
        <v>15</v>
      </c>
      <c r="B365">
        <v>3</v>
      </c>
      <c r="C365" s="36">
        <v>80600.41</v>
      </c>
      <c r="D365" s="1">
        <v>44743</v>
      </c>
      <c r="E365" s="35">
        <f t="shared" si="35"/>
        <v>0.51</v>
      </c>
      <c r="F365" s="37">
        <f t="shared" si="36"/>
        <v>40300.205000000002</v>
      </c>
      <c r="G365" s="37">
        <f t="shared" si="37"/>
        <v>20553.10455</v>
      </c>
      <c r="H365" s="36" cm="1">
        <f t="array" ref="H365">SUMPRODUCT((C365&gt;tier_floor)*((C365-tier_floor)*step)*margin_rate)</f>
        <v>13928.10455</v>
      </c>
      <c r="I365" s="37">
        <f t="shared" si="38"/>
        <v>6625</v>
      </c>
      <c r="J365" s="38">
        <f t="shared" si="39"/>
        <v>2022</v>
      </c>
      <c r="K365" s="128">
        <f>(1+target)^($J365-(MIN(tbl_rep_mon[year])))</f>
        <v>1.1499999999999999</v>
      </c>
      <c r="L365" s="35">
        <f t="shared" si="40"/>
        <v>0.42</v>
      </c>
      <c r="M365" s="37">
        <f t="shared" si="41"/>
        <v>16926.0861</v>
      </c>
    </row>
    <row r="366" spans="1:13" x14ac:dyDescent="0.4">
      <c r="A366" t="s">
        <v>16</v>
      </c>
      <c r="B366">
        <v>3</v>
      </c>
      <c r="C366" s="36">
        <v>93768.95</v>
      </c>
      <c r="D366" s="1">
        <v>44743</v>
      </c>
      <c r="E366" s="35">
        <f t="shared" si="35"/>
        <v>0.51</v>
      </c>
      <c r="F366" s="37">
        <f t="shared" si="36"/>
        <v>46884.474999999999</v>
      </c>
      <c r="G366" s="37">
        <f t="shared" si="37"/>
        <v>23911.082249999999</v>
      </c>
      <c r="H366" s="36" cm="1">
        <f t="array" ref="H366">SUMPRODUCT((C366&gt;tier_floor)*((C366-tier_floor)*step)*margin_rate)</f>
        <v>17286.082249999999</v>
      </c>
      <c r="I366" s="37">
        <f t="shared" si="38"/>
        <v>6625</v>
      </c>
      <c r="J366" s="38">
        <f t="shared" si="39"/>
        <v>2022</v>
      </c>
      <c r="K366" s="128">
        <f>(1+target)^($J366-(MIN(tbl_rep_mon[year])))</f>
        <v>1.1499999999999999</v>
      </c>
      <c r="L366" s="35">
        <f t="shared" si="40"/>
        <v>0.51</v>
      </c>
      <c r="M366" s="37">
        <f t="shared" si="41"/>
        <v>23911.082249999999</v>
      </c>
    </row>
    <row r="367" spans="1:13" x14ac:dyDescent="0.4">
      <c r="A367" t="s">
        <v>18</v>
      </c>
      <c r="B367">
        <v>3</v>
      </c>
      <c r="C367" s="36">
        <v>58215.44</v>
      </c>
      <c r="D367" s="1">
        <v>44743</v>
      </c>
      <c r="E367" s="35">
        <f t="shared" si="35"/>
        <v>0.42</v>
      </c>
      <c r="F367" s="37">
        <f t="shared" si="36"/>
        <v>29107.72</v>
      </c>
      <c r="G367" s="37">
        <f t="shared" si="37"/>
        <v>12225.242399999999</v>
      </c>
      <c r="H367" s="36" cm="1">
        <f t="array" ref="H367">SUMPRODUCT((C367&gt;tier_floor)*((C367-tier_floor)*step)*margin_rate)</f>
        <v>8975.2423999999992</v>
      </c>
      <c r="I367" s="37">
        <f t="shared" si="38"/>
        <v>3250</v>
      </c>
      <c r="J367" s="38">
        <f t="shared" si="39"/>
        <v>2022</v>
      </c>
      <c r="K367" s="128">
        <f>(1+target)^($J367-(MIN(tbl_rep_mon[year])))</f>
        <v>1.1499999999999999</v>
      </c>
      <c r="L367" s="35">
        <f t="shared" si="40"/>
        <v>0.42</v>
      </c>
      <c r="M367" s="37">
        <f t="shared" si="41"/>
        <v>12225.242399999999</v>
      </c>
    </row>
    <row r="368" spans="1:13" x14ac:dyDescent="0.4">
      <c r="A368" t="s">
        <v>19</v>
      </c>
      <c r="B368">
        <v>4</v>
      </c>
      <c r="C368" s="36">
        <v>75192.600000000006</v>
      </c>
      <c r="D368" s="1">
        <v>44743</v>
      </c>
      <c r="E368" s="35">
        <f t="shared" si="35"/>
        <v>0.51</v>
      </c>
      <c r="F368" s="37">
        <f t="shared" si="36"/>
        <v>37596.300000000003</v>
      </c>
      <c r="G368" s="37">
        <f t="shared" si="37"/>
        <v>19174.113000000001</v>
      </c>
      <c r="H368" s="36" cm="1">
        <f t="array" ref="H368">SUMPRODUCT((C368&gt;tier_floor)*((C368-tier_floor)*step)*margin_rate)</f>
        <v>12549.113000000001</v>
      </c>
      <c r="I368" s="37">
        <f t="shared" si="38"/>
        <v>6625</v>
      </c>
      <c r="J368" s="38">
        <f t="shared" si="39"/>
        <v>2022</v>
      </c>
      <c r="K368" s="128">
        <f>(1+target)^($J368-(MIN(tbl_rep_mon[year])))</f>
        <v>1.1499999999999999</v>
      </c>
      <c r="L368" s="35">
        <f t="shared" si="40"/>
        <v>0.42</v>
      </c>
      <c r="M368" s="37">
        <f t="shared" si="41"/>
        <v>15790.446</v>
      </c>
    </row>
    <row r="369" spans="1:13" x14ac:dyDescent="0.4">
      <c r="A369" t="s">
        <v>23</v>
      </c>
      <c r="B369">
        <v>1</v>
      </c>
      <c r="C369" s="36">
        <v>115568.51</v>
      </c>
      <c r="D369" s="1">
        <v>44743</v>
      </c>
      <c r="E369" s="35">
        <f t="shared" si="35"/>
        <v>0.6</v>
      </c>
      <c r="F369" s="37">
        <f t="shared" si="36"/>
        <v>57784.254999999997</v>
      </c>
      <c r="G369" s="37">
        <f t="shared" si="37"/>
        <v>34670.553</v>
      </c>
      <c r="H369" s="36" cm="1">
        <f t="array" ref="H369">SUMPRODUCT((C369&gt;tier_floor)*((C369-tier_floor)*step)*margin_rate)</f>
        <v>23545.553</v>
      </c>
      <c r="I369" s="37">
        <f t="shared" si="38"/>
        <v>11125</v>
      </c>
      <c r="J369" s="38">
        <f t="shared" si="39"/>
        <v>2022</v>
      </c>
      <c r="K369" s="128">
        <f>(1+target)^($J369-(MIN(tbl_rep_mon[year])))</f>
        <v>1.1499999999999999</v>
      </c>
      <c r="L369" s="35">
        <f t="shared" si="40"/>
        <v>0.6</v>
      </c>
      <c r="M369" s="37">
        <f t="shared" si="41"/>
        <v>34670.553</v>
      </c>
    </row>
    <row r="370" spans="1:13" x14ac:dyDescent="0.4">
      <c r="A370" t="s">
        <v>24</v>
      </c>
      <c r="B370">
        <v>3</v>
      </c>
      <c r="C370" s="36">
        <v>44989.48</v>
      </c>
      <c r="D370" s="1">
        <v>44743</v>
      </c>
      <c r="E370" s="35">
        <f t="shared" si="35"/>
        <v>0.33</v>
      </c>
      <c r="F370" s="37">
        <f t="shared" si="36"/>
        <v>22494.74</v>
      </c>
      <c r="G370" s="37">
        <f t="shared" si="37"/>
        <v>7423.2642000000005</v>
      </c>
      <c r="H370" s="36" cm="1">
        <f t="array" ref="H370">SUMPRODUCT((C370&gt;tier_floor)*((C370-tier_floor)*step)*margin_rate)</f>
        <v>6423.2642000000005</v>
      </c>
      <c r="I370" s="37">
        <f t="shared" si="38"/>
        <v>1000</v>
      </c>
      <c r="J370" s="38">
        <f t="shared" si="39"/>
        <v>2022</v>
      </c>
      <c r="K370" s="128">
        <f>(1+target)^($J370-(MIN(tbl_rep_mon[year])))</f>
        <v>1.1499999999999999</v>
      </c>
      <c r="L370" s="35">
        <f t="shared" si="40"/>
        <v>0.33</v>
      </c>
      <c r="M370" s="37">
        <f t="shared" si="41"/>
        <v>7423.2642000000005</v>
      </c>
    </row>
    <row r="371" spans="1:13" x14ac:dyDescent="0.4">
      <c r="A371" t="s">
        <v>25</v>
      </c>
      <c r="B371">
        <v>2</v>
      </c>
      <c r="C371" s="36">
        <v>79768.759999999995</v>
      </c>
      <c r="D371" s="1">
        <v>44743</v>
      </c>
      <c r="E371" s="35">
        <f t="shared" si="35"/>
        <v>0.51</v>
      </c>
      <c r="F371" s="37">
        <f t="shared" si="36"/>
        <v>39884.379999999997</v>
      </c>
      <c r="G371" s="37">
        <f t="shared" si="37"/>
        <v>20341.033799999997</v>
      </c>
      <c r="H371" s="36" cm="1">
        <f t="array" ref="H371">SUMPRODUCT((C371&gt;tier_floor)*((C371-tier_floor)*step)*margin_rate)</f>
        <v>13716.033799999999</v>
      </c>
      <c r="I371" s="37">
        <f t="shared" si="38"/>
        <v>6624.9999999999982</v>
      </c>
      <c r="J371" s="38">
        <f t="shared" si="39"/>
        <v>2022</v>
      </c>
      <c r="K371" s="128">
        <f>(1+target)^($J371-(MIN(tbl_rep_mon[year])))</f>
        <v>1.1499999999999999</v>
      </c>
      <c r="L371" s="35">
        <f t="shared" si="40"/>
        <v>0.42</v>
      </c>
      <c r="M371" s="37">
        <f t="shared" si="41"/>
        <v>16751.439599999998</v>
      </c>
    </row>
    <row r="372" spans="1:13" x14ac:dyDescent="0.4">
      <c r="A372" t="s">
        <v>26</v>
      </c>
      <c r="B372">
        <v>2</v>
      </c>
      <c r="C372" s="36">
        <v>58267.83</v>
      </c>
      <c r="D372" s="1">
        <v>44743</v>
      </c>
      <c r="E372" s="35">
        <f t="shared" si="35"/>
        <v>0.42</v>
      </c>
      <c r="F372" s="37">
        <f t="shared" si="36"/>
        <v>29133.915000000001</v>
      </c>
      <c r="G372" s="37">
        <f t="shared" si="37"/>
        <v>12236.2443</v>
      </c>
      <c r="H372" s="36" cm="1">
        <f t="array" ref="H372">SUMPRODUCT((C372&gt;tier_floor)*((C372-tier_floor)*step)*margin_rate)</f>
        <v>8986.2443000000003</v>
      </c>
      <c r="I372" s="37">
        <f t="shared" si="38"/>
        <v>3250</v>
      </c>
      <c r="J372" s="38">
        <f t="shared" si="39"/>
        <v>2022</v>
      </c>
      <c r="K372" s="128">
        <f>(1+target)^($J372-(MIN(tbl_rep_mon[year])))</f>
        <v>1.1499999999999999</v>
      </c>
      <c r="L372" s="35">
        <f t="shared" si="40"/>
        <v>0.42</v>
      </c>
      <c r="M372" s="37">
        <f t="shared" si="41"/>
        <v>12236.2443</v>
      </c>
    </row>
    <row r="373" spans="1:13" x14ac:dyDescent="0.4">
      <c r="A373" t="s">
        <v>28</v>
      </c>
      <c r="B373">
        <v>2</v>
      </c>
      <c r="C373" s="36">
        <v>58236.74</v>
      </c>
      <c r="D373" s="1">
        <v>44743</v>
      </c>
      <c r="E373" s="35">
        <f t="shared" si="35"/>
        <v>0.42</v>
      </c>
      <c r="F373" s="37">
        <f t="shared" si="36"/>
        <v>29118.37</v>
      </c>
      <c r="G373" s="37">
        <f t="shared" si="37"/>
        <v>12229.715399999999</v>
      </c>
      <c r="H373" s="36" cm="1">
        <f t="array" ref="H373">SUMPRODUCT((C373&gt;tier_floor)*((C373-tier_floor)*step)*margin_rate)</f>
        <v>8979.7153999999991</v>
      </c>
      <c r="I373" s="37">
        <f t="shared" si="38"/>
        <v>3250</v>
      </c>
      <c r="J373" s="38">
        <f t="shared" si="39"/>
        <v>2022</v>
      </c>
      <c r="K373" s="128">
        <f>(1+target)^($J373-(MIN(tbl_rep_mon[year])))</f>
        <v>1.1499999999999999</v>
      </c>
      <c r="L373" s="35">
        <f t="shared" si="40"/>
        <v>0.42</v>
      </c>
      <c r="M373" s="37">
        <f t="shared" si="41"/>
        <v>12229.715399999999</v>
      </c>
    </row>
    <row r="374" spans="1:13" x14ac:dyDescent="0.4">
      <c r="A374" t="s">
        <v>29</v>
      </c>
      <c r="B374">
        <v>1</v>
      </c>
      <c r="C374" s="36">
        <v>73530.13</v>
      </c>
      <c r="D374" s="1">
        <v>44743</v>
      </c>
      <c r="E374" s="35">
        <f t="shared" si="35"/>
        <v>0.42</v>
      </c>
      <c r="F374" s="37">
        <f t="shared" si="36"/>
        <v>36765.065000000002</v>
      </c>
      <c r="G374" s="37">
        <f t="shared" si="37"/>
        <v>15441.327300000001</v>
      </c>
      <c r="H374" s="36" cm="1">
        <f t="array" ref="H374">SUMPRODUCT((C374&gt;tier_floor)*((C374-tier_floor)*step)*margin_rate)</f>
        <v>12191.327300000001</v>
      </c>
      <c r="I374" s="37">
        <f t="shared" si="38"/>
        <v>3250</v>
      </c>
      <c r="J374" s="38">
        <f t="shared" si="39"/>
        <v>2022</v>
      </c>
      <c r="K374" s="128">
        <f>(1+target)^($J374-(MIN(tbl_rep_mon[year])))</f>
        <v>1.1499999999999999</v>
      </c>
      <c r="L374" s="35">
        <f t="shared" si="40"/>
        <v>0.42</v>
      </c>
      <c r="M374" s="37">
        <f t="shared" si="41"/>
        <v>15441.327300000001</v>
      </c>
    </row>
    <row r="375" spans="1:13" x14ac:dyDescent="0.4">
      <c r="A375" t="s">
        <v>30</v>
      </c>
      <c r="B375">
        <v>4</v>
      </c>
      <c r="C375" s="36">
        <v>59625.35</v>
      </c>
      <c r="D375" s="1">
        <v>44743</v>
      </c>
      <c r="E375" s="35">
        <f t="shared" si="35"/>
        <v>0.42</v>
      </c>
      <c r="F375" s="37">
        <f t="shared" si="36"/>
        <v>29812.674999999999</v>
      </c>
      <c r="G375" s="37">
        <f t="shared" si="37"/>
        <v>12521.323499999999</v>
      </c>
      <c r="H375" s="36" cm="1">
        <f t="array" ref="H375">SUMPRODUCT((C375&gt;tier_floor)*((C375-tier_floor)*step)*margin_rate)</f>
        <v>9271.3235000000004</v>
      </c>
      <c r="I375" s="37">
        <f t="shared" si="38"/>
        <v>3249.9999999999982</v>
      </c>
      <c r="J375" s="38">
        <f t="shared" si="39"/>
        <v>2022</v>
      </c>
      <c r="K375" s="128">
        <f>(1+target)^($J375-(MIN(tbl_rep_mon[year])))</f>
        <v>1.1499999999999999</v>
      </c>
      <c r="L375" s="35">
        <f t="shared" si="40"/>
        <v>0.42</v>
      </c>
      <c r="M375" s="37">
        <f t="shared" si="41"/>
        <v>12521.323499999999</v>
      </c>
    </row>
    <row r="376" spans="1:13" x14ac:dyDescent="0.4">
      <c r="A376" t="s">
        <v>31</v>
      </c>
      <c r="B376">
        <v>4</v>
      </c>
      <c r="C376" s="36">
        <v>55010.75</v>
      </c>
      <c r="D376" s="1">
        <v>44743</v>
      </c>
      <c r="E376" s="35">
        <f t="shared" si="35"/>
        <v>0.42</v>
      </c>
      <c r="F376" s="37">
        <f t="shared" si="36"/>
        <v>27505.375</v>
      </c>
      <c r="G376" s="37">
        <f t="shared" si="37"/>
        <v>11552.2575</v>
      </c>
      <c r="H376" s="36" cm="1">
        <f t="array" ref="H376">SUMPRODUCT((C376&gt;tier_floor)*((C376-tier_floor)*step)*margin_rate)</f>
        <v>8302.2574999999997</v>
      </c>
      <c r="I376" s="37">
        <f t="shared" si="38"/>
        <v>3250</v>
      </c>
      <c r="J376" s="38">
        <f t="shared" si="39"/>
        <v>2022</v>
      </c>
      <c r="K376" s="128">
        <f>(1+target)^($J376-(MIN(tbl_rep_mon[year])))</f>
        <v>1.1499999999999999</v>
      </c>
      <c r="L376" s="35">
        <f t="shared" si="40"/>
        <v>0.33</v>
      </c>
      <c r="M376" s="37">
        <f t="shared" si="41"/>
        <v>9076.7737500000003</v>
      </c>
    </row>
    <row r="377" spans="1:13" x14ac:dyDescent="0.4">
      <c r="A377" t="s">
        <v>32</v>
      </c>
      <c r="B377">
        <v>4</v>
      </c>
      <c r="C377" s="36">
        <v>52857.7</v>
      </c>
      <c r="D377" s="1">
        <v>44743</v>
      </c>
      <c r="E377" s="35">
        <f t="shared" si="35"/>
        <v>0.42</v>
      </c>
      <c r="F377" s="37">
        <f t="shared" si="36"/>
        <v>26428.85</v>
      </c>
      <c r="G377" s="37">
        <f t="shared" si="37"/>
        <v>11100.116999999998</v>
      </c>
      <c r="H377" s="36" cm="1">
        <f t="array" ref="H377">SUMPRODUCT((C377&gt;tier_floor)*((C377-tier_floor)*step)*margin_rate)</f>
        <v>7850.1169999999993</v>
      </c>
      <c r="I377" s="37">
        <f t="shared" si="38"/>
        <v>3249.9999999999991</v>
      </c>
      <c r="J377" s="38">
        <f t="shared" si="39"/>
        <v>2022</v>
      </c>
      <c r="K377" s="128">
        <f>(1+target)^($J377-(MIN(tbl_rep_mon[year])))</f>
        <v>1.1499999999999999</v>
      </c>
      <c r="L377" s="35">
        <f t="shared" si="40"/>
        <v>0.33</v>
      </c>
      <c r="M377" s="37">
        <f t="shared" si="41"/>
        <v>8721.5205000000005</v>
      </c>
    </row>
    <row r="378" spans="1:13" x14ac:dyDescent="0.4">
      <c r="A378" t="s">
        <v>33</v>
      </c>
      <c r="B378">
        <v>3</v>
      </c>
      <c r="C378" s="36">
        <v>53558.26</v>
      </c>
      <c r="D378" s="1">
        <v>44743</v>
      </c>
      <c r="E378" s="35">
        <f t="shared" si="35"/>
        <v>0.42</v>
      </c>
      <c r="F378" s="37">
        <f t="shared" si="36"/>
        <v>26779.13</v>
      </c>
      <c r="G378" s="37">
        <f t="shared" si="37"/>
        <v>11247.2346</v>
      </c>
      <c r="H378" s="36" cm="1">
        <f t="array" ref="H378">SUMPRODUCT((C378&gt;tier_floor)*((C378-tier_floor)*step)*margin_rate)</f>
        <v>7997.2345999999998</v>
      </c>
      <c r="I378" s="37">
        <f t="shared" si="38"/>
        <v>3250</v>
      </c>
      <c r="J378" s="38">
        <f t="shared" si="39"/>
        <v>2022</v>
      </c>
      <c r="K378" s="128">
        <f>(1+target)^($J378-(MIN(tbl_rep_mon[year])))</f>
        <v>1.1499999999999999</v>
      </c>
      <c r="L378" s="35">
        <f t="shared" si="40"/>
        <v>0.33</v>
      </c>
      <c r="M378" s="37">
        <f t="shared" si="41"/>
        <v>8837.1129000000001</v>
      </c>
    </row>
    <row r="379" spans="1:13" x14ac:dyDescent="0.4">
      <c r="A379" t="s">
        <v>34</v>
      </c>
      <c r="B379">
        <v>4</v>
      </c>
      <c r="C379" s="36">
        <v>70261.94</v>
      </c>
      <c r="D379" s="1">
        <v>44743</v>
      </c>
      <c r="E379" s="35">
        <f t="shared" si="35"/>
        <v>0.42</v>
      </c>
      <c r="F379" s="37">
        <f t="shared" si="36"/>
        <v>35130.97</v>
      </c>
      <c r="G379" s="37">
        <f t="shared" si="37"/>
        <v>14755.0074</v>
      </c>
      <c r="H379" s="36" cm="1">
        <f t="array" ref="H379">SUMPRODUCT((C379&gt;tier_floor)*((C379-tier_floor)*step)*margin_rate)</f>
        <v>11505.0074</v>
      </c>
      <c r="I379" s="37">
        <f t="shared" si="38"/>
        <v>3250</v>
      </c>
      <c r="J379" s="38">
        <f t="shared" si="39"/>
        <v>2022</v>
      </c>
      <c r="K379" s="128">
        <f>(1+target)^($J379-(MIN(tbl_rep_mon[year])))</f>
        <v>1.1499999999999999</v>
      </c>
      <c r="L379" s="35">
        <f t="shared" si="40"/>
        <v>0.42</v>
      </c>
      <c r="M379" s="37">
        <f t="shared" si="41"/>
        <v>14755.0074</v>
      </c>
    </row>
    <row r="380" spans="1:13" x14ac:dyDescent="0.4">
      <c r="A380" t="s">
        <v>35</v>
      </c>
      <c r="B380">
        <v>4</v>
      </c>
      <c r="C380" s="36">
        <v>28747.01</v>
      </c>
      <c r="D380" s="1">
        <v>44743</v>
      </c>
      <c r="E380" s="35">
        <f t="shared" si="35"/>
        <v>0.33</v>
      </c>
      <c r="F380" s="37">
        <f t="shared" si="36"/>
        <v>14373.504999999999</v>
      </c>
      <c r="G380" s="37">
        <f t="shared" si="37"/>
        <v>4743.2566500000003</v>
      </c>
      <c r="H380" s="36" cm="1">
        <f t="array" ref="H380">SUMPRODUCT((C380&gt;tier_floor)*((C380-tier_floor)*step)*margin_rate)</f>
        <v>3743.2566499999998</v>
      </c>
      <c r="I380" s="37">
        <f t="shared" si="38"/>
        <v>1000.0000000000005</v>
      </c>
      <c r="J380" s="38">
        <f t="shared" si="39"/>
        <v>2022</v>
      </c>
      <c r="K380" s="128">
        <f>(1+target)^($J380-(MIN(tbl_rep_mon[year])))</f>
        <v>1.1499999999999999</v>
      </c>
      <c r="L380" s="35">
        <f t="shared" si="40"/>
        <v>0.25</v>
      </c>
      <c r="M380" s="37">
        <f t="shared" si="41"/>
        <v>3593.3762499999998</v>
      </c>
    </row>
    <row r="381" spans="1:13" x14ac:dyDescent="0.4">
      <c r="A381" t="s">
        <v>6</v>
      </c>
      <c r="B381">
        <v>2</v>
      </c>
      <c r="C381" s="36">
        <v>50302.39</v>
      </c>
      <c r="D381" s="1">
        <v>44774</v>
      </c>
      <c r="E381" s="35">
        <f t="shared" si="35"/>
        <v>0.42</v>
      </c>
      <c r="F381" s="37">
        <f t="shared" si="36"/>
        <v>25151.195</v>
      </c>
      <c r="G381" s="37">
        <f t="shared" si="37"/>
        <v>10563.501899999999</v>
      </c>
      <c r="H381" s="36" cm="1">
        <f t="array" ref="H381">SUMPRODUCT((C381&gt;tier_floor)*((C381-tier_floor)*step)*margin_rate)</f>
        <v>7313.5019000000002</v>
      </c>
      <c r="I381" s="37">
        <f t="shared" si="38"/>
        <v>3249.9999999999991</v>
      </c>
      <c r="J381" s="38">
        <f t="shared" si="39"/>
        <v>2022</v>
      </c>
      <c r="K381" s="128">
        <f>(1+target)^($J381-(MIN(tbl_rep_mon[year])))</f>
        <v>1.1499999999999999</v>
      </c>
      <c r="L381" s="35">
        <f t="shared" si="40"/>
        <v>0.33</v>
      </c>
      <c r="M381" s="37">
        <f t="shared" si="41"/>
        <v>8299.8943500000005</v>
      </c>
    </row>
    <row r="382" spans="1:13" x14ac:dyDescent="0.4">
      <c r="A382" t="s">
        <v>7</v>
      </c>
      <c r="B382">
        <v>4</v>
      </c>
      <c r="C382" s="36">
        <v>59030.89</v>
      </c>
      <c r="D382" s="1">
        <v>44774</v>
      </c>
      <c r="E382" s="35">
        <f t="shared" si="35"/>
        <v>0.42</v>
      </c>
      <c r="F382" s="37">
        <f t="shared" si="36"/>
        <v>29515.445</v>
      </c>
      <c r="G382" s="37">
        <f t="shared" si="37"/>
        <v>12396.4869</v>
      </c>
      <c r="H382" s="36" cm="1">
        <f t="array" ref="H382">SUMPRODUCT((C382&gt;tier_floor)*((C382-tier_floor)*step)*margin_rate)</f>
        <v>9146.4868999999999</v>
      </c>
      <c r="I382" s="37">
        <f t="shared" si="38"/>
        <v>3250</v>
      </c>
      <c r="J382" s="38">
        <f t="shared" si="39"/>
        <v>2022</v>
      </c>
      <c r="K382" s="128">
        <f>(1+target)^($J382-(MIN(tbl_rep_mon[year])))</f>
        <v>1.1499999999999999</v>
      </c>
      <c r="L382" s="35">
        <f t="shared" si="40"/>
        <v>0.42</v>
      </c>
      <c r="M382" s="37">
        <f t="shared" si="41"/>
        <v>12396.4869</v>
      </c>
    </row>
    <row r="383" spans="1:13" x14ac:dyDescent="0.4">
      <c r="A383" t="s">
        <v>8</v>
      </c>
      <c r="B383">
        <v>4</v>
      </c>
      <c r="C383" s="36">
        <v>55572.11</v>
      </c>
      <c r="D383" s="1">
        <v>44774</v>
      </c>
      <c r="E383" s="35">
        <f t="shared" si="35"/>
        <v>0.42</v>
      </c>
      <c r="F383" s="37">
        <f t="shared" si="36"/>
        <v>27786.055</v>
      </c>
      <c r="G383" s="37">
        <f t="shared" si="37"/>
        <v>11670.143099999999</v>
      </c>
      <c r="H383" s="36" cm="1">
        <f t="array" ref="H383">SUMPRODUCT((C383&gt;tier_floor)*((C383-tier_floor)*step)*margin_rate)</f>
        <v>8420.1431000000011</v>
      </c>
      <c r="I383" s="37">
        <f t="shared" si="38"/>
        <v>3249.9999999999982</v>
      </c>
      <c r="J383" s="38">
        <f t="shared" si="39"/>
        <v>2022</v>
      </c>
      <c r="K383" s="128">
        <f>(1+target)^($J383-(MIN(tbl_rep_mon[year])))</f>
        <v>1.1499999999999999</v>
      </c>
      <c r="L383" s="35">
        <f t="shared" si="40"/>
        <v>0.33</v>
      </c>
      <c r="M383" s="37">
        <f t="shared" si="41"/>
        <v>9169.3981500000009</v>
      </c>
    </row>
    <row r="384" spans="1:13" x14ac:dyDescent="0.4">
      <c r="A384" t="s">
        <v>15</v>
      </c>
      <c r="B384">
        <v>3</v>
      </c>
      <c r="C384" s="36">
        <v>58611</v>
      </c>
      <c r="D384" s="1">
        <v>44774</v>
      </c>
      <c r="E384" s="35">
        <f t="shared" si="35"/>
        <v>0.42</v>
      </c>
      <c r="F384" s="37">
        <f t="shared" si="36"/>
        <v>29305.5</v>
      </c>
      <c r="G384" s="37">
        <f t="shared" si="37"/>
        <v>12308.31</v>
      </c>
      <c r="H384" s="36" cm="1">
        <f t="array" ref="H384">SUMPRODUCT((C384&gt;tier_floor)*((C384-tier_floor)*step)*margin_rate)</f>
        <v>9058.3100000000013</v>
      </c>
      <c r="I384" s="37">
        <f t="shared" si="38"/>
        <v>3249.9999999999982</v>
      </c>
      <c r="J384" s="38">
        <f t="shared" si="39"/>
        <v>2022</v>
      </c>
      <c r="K384" s="128">
        <f>(1+target)^($J384-(MIN(tbl_rep_mon[year])))</f>
        <v>1.1499999999999999</v>
      </c>
      <c r="L384" s="35">
        <f t="shared" si="40"/>
        <v>0.42</v>
      </c>
      <c r="M384" s="37">
        <f t="shared" si="41"/>
        <v>12308.31</v>
      </c>
    </row>
    <row r="385" spans="1:13" x14ac:dyDescent="0.4">
      <c r="A385" t="s">
        <v>16</v>
      </c>
      <c r="B385">
        <v>3</v>
      </c>
      <c r="C385" s="36">
        <v>93335.5</v>
      </c>
      <c r="D385" s="1">
        <v>44774</v>
      </c>
      <c r="E385" s="35">
        <f t="shared" si="35"/>
        <v>0.51</v>
      </c>
      <c r="F385" s="37">
        <f t="shared" si="36"/>
        <v>46667.75</v>
      </c>
      <c r="G385" s="37">
        <f t="shared" si="37"/>
        <v>23800.552500000002</v>
      </c>
      <c r="H385" s="36" cm="1">
        <f t="array" ref="H385">SUMPRODUCT((C385&gt;tier_floor)*((C385-tier_floor)*step)*margin_rate)</f>
        <v>17175.552500000002</v>
      </c>
      <c r="I385" s="37">
        <f t="shared" si="38"/>
        <v>6625</v>
      </c>
      <c r="J385" s="38">
        <f t="shared" si="39"/>
        <v>2022</v>
      </c>
      <c r="K385" s="128">
        <f>(1+target)^($J385-(MIN(tbl_rep_mon[year])))</f>
        <v>1.1499999999999999</v>
      </c>
      <c r="L385" s="35">
        <f t="shared" si="40"/>
        <v>0.51</v>
      </c>
      <c r="M385" s="37">
        <f t="shared" si="41"/>
        <v>23800.552500000002</v>
      </c>
    </row>
    <row r="386" spans="1:13" x14ac:dyDescent="0.4">
      <c r="A386" t="s">
        <v>18</v>
      </c>
      <c r="B386">
        <v>3</v>
      </c>
      <c r="C386" s="36">
        <v>70613.5</v>
      </c>
      <c r="D386" s="1">
        <v>44774</v>
      </c>
      <c r="E386" s="35">
        <f t="shared" ref="E386:E449" si="42">_xlfn.XLOOKUP(C386,tier_floor,tier_rate,,-1)</f>
        <v>0.42</v>
      </c>
      <c r="F386" s="37">
        <f t="shared" ref="F386:F449" si="43">C386*margin_rate</f>
        <v>35306.75</v>
      </c>
      <c r="G386" s="37">
        <f t="shared" ref="G386:G449" si="44">F386*E386</f>
        <v>14828.834999999999</v>
      </c>
      <c r="H386" s="36" cm="1">
        <f t="array" ref="H386">SUMPRODUCT((C386&gt;tier_floor)*((C386-tier_floor)*step)*margin_rate)</f>
        <v>11578.835000000001</v>
      </c>
      <c r="I386" s="37">
        <f t="shared" ref="I386:I449" si="45">G386-H386</f>
        <v>3249.9999999999982</v>
      </c>
      <c r="J386" s="38">
        <f t="shared" ref="J386:J449" si="46">YEAR(D386)</f>
        <v>2022</v>
      </c>
      <c r="K386" s="128">
        <f>(1+target)^($J386-(MIN(tbl_rep_mon[year])))</f>
        <v>1.1499999999999999</v>
      </c>
      <c r="L386" s="35">
        <f t="shared" ref="L386:L449" si="47">_xlfn.XLOOKUP(($C386/$K386),tier_floor,tier_rate,,-1)</f>
        <v>0.42</v>
      </c>
      <c r="M386" s="37">
        <f t="shared" ref="M386:M449" si="48">$F386*$L386</f>
        <v>14828.834999999999</v>
      </c>
    </row>
    <row r="387" spans="1:13" x14ac:dyDescent="0.4">
      <c r="A387" t="s">
        <v>19</v>
      </c>
      <c r="B387">
        <v>4</v>
      </c>
      <c r="C387" s="36">
        <v>62696.01</v>
      </c>
      <c r="D387" s="1">
        <v>44774</v>
      </c>
      <c r="E387" s="35">
        <f t="shared" si="42"/>
        <v>0.42</v>
      </c>
      <c r="F387" s="37">
        <f t="shared" si="43"/>
        <v>31348.005000000001</v>
      </c>
      <c r="G387" s="37">
        <f t="shared" si="44"/>
        <v>13166.1621</v>
      </c>
      <c r="H387" s="36" cm="1">
        <f t="array" ref="H387">SUMPRODUCT((C387&gt;tier_floor)*((C387-tier_floor)*step)*margin_rate)</f>
        <v>9916.1620999999996</v>
      </c>
      <c r="I387" s="37">
        <f t="shared" si="45"/>
        <v>3250</v>
      </c>
      <c r="J387" s="38">
        <f t="shared" si="46"/>
        <v>2022</v>
      </c>
      <c r="K387" s="128">
        <f>(1+target)^($J387-(MIN(tbl_rep_mon[year])))</f>
        <v>1.1499999999999999</v>
      </c>
      <c r="L387" s="35">
        <f t="shared" si="47"/>
        <v>0.42</v>
      </c>
      <c r="M387" s="37">
        <f t="shared" si="48"/>
        <v>13166.1621</v>
      </c>
    </row>
    <row r="388" spans="1:13" x14ac:dyDescent="0.4">
      <c r="A388" t="s">
        <v>23</v>
      </c>
      <c r="B388">
        <v>1</v>
      </c>
      <c r="C388" s="36">
        <v>100720.06</v>
      </c>
      <c r="D388" s="1">
        <v>44774</v>
      </c>
      <c r="E388" s="35">
        <f t="shared" si="42"/>
        <v>0.6</v>
      </c>
      <c r="F388" s="37">
        <f t="shared" si="43"/>
        <v>50360.03</v>
      </c>
      <c r="G388" s="37">
        <f t="shared" si="44"/>
        <v>30216.017999999996</v>
      </c>
      <c r="H388" s="36" cm="1">
        <f t="array" ref="H388">SUMPRODUCT((C388&gt;tier_floor)*((C388-tier_floor)*step)*margin_rate)</f>
        <v>19091.017999999996</v>
      </c>
      <c r="I388" s="37">
        <f t="shared" si="45"/>
        <v>11125</v>
      </c>
      <c r="J388" s="38">
        <f t="shared" si="46"/>
        <v>2022</v>
      </c>
      <c r="K388" s="128">
        <f>(1+target)^($J388-(MIN(tbl_rep_mon[year])))</f>
        <v>1.1499999999999999</v>
      </c>
      <c r="L388" s="35">
        <f t="shared" si="47"/>
        <v>0.51</v>
      </c>
      <c r="M388" s="37">
        <f t="shared" si="48"/>
        <v>25683.615300000001</v>
      </c>
    </row>
    <row r="389" spans="1:13" x14ac:dyDescent="0.4">
      <c r="A389" t="s">
        <v>24</v>
      </c>
      <c r="B389">
        <v>3</v>
      </c>
      <c r="C389" s="36">
        <v>52459.17</v>
      </c>
      <c r="D389" s="1">
        <v>44774</v>
      </c>
      <c r="E389" s="35">
        <f t="shared" si="42"/>
        <v>0.42</v>
      </c>
      <c r="F389" s="37">
        <f t="shared" si="43"/>
        <v>26229.584999999999</v>
      </c>
      <c r="G389" s="37">
        <f t="shared" si="44"/>
        <v>11016.4257</v>
      </c>
      <c r="H389" s="36" cm="1">
        <f t="array" ref="H389">SUMPRODUCT((C389&gt;tier_floor)*((C389-tier_floor)*step)*margin_rate)</f>
        <v>7766.4256999999998</v>
      </c>
      <c r="I389" s="37">
        <f t="shared" si="45"/>
        <v>3250</v>
      </c>
      <c r="J389" s="38">
        <f t="shared" si="46"/>
        <v>2022</v>
      </c>
      <c r="K389" s="128">
        <f>(1+target)^($J389-(MIN(tbl_rep_mon[year])))</f>
        <v>1.1499999999999999</v>
      </c>
      <c r="L389" s="35">
        <f t="shared" si="47"/>
        <v>0.33</v>
      </c>
      <c r="M389" s="37">
        <f t="shared" si="48"/>
        <v>8655.7630499999996</v>
      </c>
    </row>
    <row r="390" spans="1:13" x14ac:dyDescent="0.4">
      <c r="A390" t="s">
        <v>25</v>
      </c>
      <c r="B390">
        <v>2</v>
      </c>
      <c r="C390" s="36">
        <v>69392.710000000006</v>
      </c>
      <c r="D390" s="1">
        <v>44774</v>
      </c>
      <c r="E390" s="35">
        <f t="shared" si="42"/>
        <v>0.42</v>
      </c>
      <c r="F390" s="37">
        <f t="shared" si="43"/>
        <v>34696.355000000003</v>
      </c>
      <c r="G390" s="37">
        <f t="shared" si="44"/>
        <v>14572.4691</v>
      </c>
      <c r="H390" s="36" cm="1">
        <f t="array" ref="H390">SUMPRODUCT((C390&gt;tier_floor)*((C390-tier_floor)*step)*margin_rate)</f>
        <v>11322.469100000002</v>
      </c>
      <c r="I390" s="37">
        <f t="shared" si="45"/>
        <v>3249.9999999999982</v>
      </c>
      <c r="J390" s="38">
        <f t="shared" si="46"/>
        <v>2022</v>
      </c>
      <c r="K390" s="128">
        <f>(1+target)^($J390-(MIN(tbl_rep_mon[year])))</f>
        <v>1.1499999999999999</v>
      </c>
      <c r="L390" s="35">
        <f t="shared" si="47"/>
        <v>0.42</v>
      </c>
      <c r="M390" s="37">
        <f t="shared" si="48"/>
        <v>14572.4691</v>
      </c>
    </row>
    <row r="391" spans="1:13" x14ac:dyDescent="0.4">
      <c r="A391" t="s">
        <v>26</v>
      </c>
      <c r="B391">
        <v>2</v>
      </c>
      <c r="C391" s="36">
        <v>69687.039999999994</v>
      </c>
      <c r="D391" s="1">
        <v>44774</v>
      </c>
      <c r="E391" s="35">
        <f t="shared" si="42"/>
        <v>0.42</v>
      </c>
      <c r="F391" s="37">
        <f t="shared" si="43"/>
        <v>34843.519999999997</v>
      </c>
      <c r="G391" s="37">
        <f t="shared" si="44"/>
        <v>14634.278399999997</v>
      </c>
      <c r="H391" s="36" cm="1">
        <f t="array" ref="H391">SUMPRODUCT((C391&gt;tier_floor)*((C391-tier_floor)*step)*margin_rate)</f>
        <v>11384.278399999999</v>
      </c>
      <c r="I391" s="37">
        <f t="shared" si="45"/>
        <v>3249.9999999999982</v>
      </c>
      <c r="J391" s="38">
        <f t="shared" si="46"/>
        <v>2022</v>
      </c>
      <c r="K391" s="128">
        <f>(1+target)^($J391-(MIN(tbl_rep_mon[year])))</f>
        <v>1.1499999999999999</v>
      </c>
      <c r="L391" s="35">
        <f t="shared" si="47"/>
        <v>0.42</v>
      </c>
      <c r="M391" s="37">
        <f t="shared" si="48"/>
        <v>14634.278399999997</v>
      </c>
    </row>
    <row r="392" spans="1:13" x14ac:dyDescent="0.4">
      <c r="A392" t="s">
        <v>28</v>
      </c>
      <c r="B392">
        <v>2</v>
      </c>
      <c r="C392" s="36">
        <v>45582.46</v>
      </c>
      <c r="D392" s="1">
        <v>44774</v>
      </c>
      <c r="E392" s="35">
        <f t="shared" si="42"/>
        <v>0.33</v>
      </c>
      <c r="F392" s="37">
        <f t="shared" si="43"/>
        <v>22791.23</v>
      </c>
      <c r="G392" s="37">
        <f t="shared" si="44"/>
        <v>7521.1059000000005</v>
      </c>
      <c r="H392" s="36" cm="1">
        <f t="array" ref="H392">SUMPRODUCT((C392&gt;tier_floor)*((C392-tier_floor)*step)*margin_rate)</f>
        <v>6521.1059000000005</v>
      </c>
      <c r="I392" s="37">
        <f t="shared" si="45"/>
        <v>1000</v>
      </c>
      <c r="J392" s="38">
        <f t="shared" si="46"/>
        <v>2022</v>
      </c>
      <c r="K392" s="128">
        <f>(1+target)^($J392-(MIN(tbl_rep_mon[year])))</f>
        <v>1.1499999999999999</v>
      </c>
      <c r="L392" s="35">
        <f t="shared" si="47"/>
        <v>0.33</v>
      </c>
      <c r="M392" s="37">
        <f t="shared" si="48"/>
        <v>7521.1059000000005</v>
      </c>
    </row>
    <row r="393" spans="1:13" x14ac:dyDescent="0.4">
      <c r="A393" t="s">
        <v>29</v>
      </c>
      <c r="B393">
        <v>1</v>
      </c>
      <c r="C393" s="36">
        <v>70610.740000000005</v>
      </c>
      <c r="D393" s="1">
        <v>44774</v>
      </c>
      <c r="E393" s="35">
        <f t="shared" si="42"/>
        <v>0.42</v>
      </c>
      <c r="F393" s="37">
        <f t="shared" si="43"/>
        <v>35305.370000000003</v>
      </c>
      <c r="G393" s="37">
        <f t="shared" si="44"/>
        <v>14828.2554</v>
      </c>
      <c r="H393" s="36" cm="1">
        <f t="array" ref="H393">SUMPRODUCT((C393&gt;tier_floor)*((C393-tier_floor)*step)*margin_rate)</f>
        <v>11578.255400000002</v>
      </c>
      <c r="I393" s="37">
        <f t="shared" si="45"/>
        <v>3249.9999999999982</v>
      </c>
      <c r="J393" s="38">
        <f t="shared" si="46"/>
        <v>2022</v>
      </c>
      <c r="K393" s="128">
        <f>(1+target)^($J393-(MIN(tbl_rep_mon[year])))</f>
        <v>1.1499999999999999</v>
      </c>
      <c r="L393" s="35">
        <f t="shared" si="47"/>
        <v>0.42</v>
      </c>
      <c r="M393" s="37">
        <f t="shared" si="48"/>
        <v>14828.2554</v>
      </c>
    </row>
    <row r="394" spans="1:13" x14ac:dyDescent="0.4">
      <c r="A394" t="s">
        <v>30</v>
      </c>
      <c r="B394">
        <v>4</v>
      </c>
      <c r="C394" s="36">
        <v>7199.62</v>
      </c>
      <c r="D394" s="1">
        <v>44774</v>
      </c>
      <c r="E394" s="35">
        <f t="shared" si="42"/>
        <v>0.25</v>
      </c>
      <c r="F394" s="37">
        <f t="shared" si="43"/>
        <v>3599.81</v>
      </c>
      <c r="G394" s="37">
        <f t="shared" si="44"/>
        <v>899.95249999999999</v>
      </c>
      <c r="H394" s="36" cm="1">
        <f t="array" ref="H394">SUMPRODUCT((C394&gt;tier_floor)*((C394-tier_floor)*step)*margin_rate)</f>
        <v>899.95249999999999</v>
      </c>
      <c r="I394" s="37">
        <f t="shared" si="45"/>
        <v>0</v>
      </c>
      <c r="J394" s="38">
        <f t="shared" si="46"/>
        <v>2022</v>
      </c>
      <c r="K394" s="128">
        <f>(1+target)^($J394-(MIN(tbl_rep_mon[year])))</f>
        <v>1.1499999999999999</v>
      </c>
      <c r="L394" s="35">
        <f t="shared" si="47"/>
        <v>0.25</v>
      </c>
      <c r="M394" s="37">
        <f t="shared" si="48"/>
        <v>899.95249999999999</v>
      </c>
    </row>
    <row r="395" spans="1:13" x14ac:dyDescent="0.4">
      <c r="A395" t="s">
        <v>31</v>
      </c>
      <c r="B395">
        <v>4</v>
      </c>
      <c r="C395" s="36">
        <v>40912.019999999997</v>
      </c>
      <c r="D395" s="1">
        <v>44774</v>
      </c>
      <c r="E395" s="35">
        <f t="shared" si="42"/>
        <v>0.33</v>
      </c>
      <c r="F395" s="37">
        <f t="shared" si="43"/>
        <v>20456.009999999998</v>
      </c>
      <c r="G395" s="37">
        <f t="shared" si="44"/>
        <v>6750.4832999999999</v>
      </c>
      <c r="H395" s="36" cm="1">
        <f t="array" ref="H395">SUMPRODUCT((C395&gt;tier_floor)*((C395-tier_floor)*step)*margin_rate)</f>
        <v>5750.4832999999999</v>
      </c>
      <c r="I395" s="37">
        <f t="shared" si="45"/>
        <v>1000</v>
      </c>
      <c r="J395" s="38">
        <f t="shared" si="46"/>
        <v>2022</v>
      </c>
      <c r="K395" s="128">
        <f>(1+target)^($J395-(MIN(tbl_rep_mon[year])))</f>
        <v>1.1499999999999999</v>
      </c>
      <c r="L395" s="35">
        <f t="shared" si="47"/>
        <v>0.33</v>
      </c>
      <c r="M395" s="37">
        <f t="shared" si="48"/>
        <v>6750.4832999999999</v>
      </c>
    </row>
    <row r="396" spans="1:13" x14ac:dyDescent="0.4">
      <c r="A396" t="s">
        <v>32</v>
      </c>
      <c r="B396">
        <v>4</v>
      </c>
      <c r="C396" s="36">
        <v>72696.25</v>
      </c>
      <c r="D396" s="1">
        <v>44774</v>
      </c>
      <c r="E396" s="35">
        <f t="shared" si="42"/>
        <v>0.42</v>
      </c>
      <c r="F396" s="37">
        <f t="shared" si="43"/>
        <v>36348.125</v>
      </c>
      <c r="G396" s="37">
        <f t="shared" si="44"/>
        <v>15266.2125</v>
      </c>
      <c r="H396" s="36" cm="1">
        <f t="array" ref="H396">SUMPRODUCT((C396&gt;tier_floor)*((C396-tier_floor)*step)*margin_rate)</f>
        <v>12016.2125</v>
      </c>
      <c r="I396" s="37">
        <f t="shared" si="45"/>
        <v>3250</v>
      </c>
      <c r="J396" s="38">
        <f t="shared" si="46"/>
        <v>2022</v>
      </c>
      <c r="K396" s="128">
        <f>(1+target)^($J396-(MIN(tbl_rep_mon[year])))</f>
        <v>1.1499999999999999</v>
      </c>
      <c r="L396" s="35">
        <f t="shared" si="47"/>
        <v>0.42</v>
      </c>
      <c r="M396" s="37">
        <f t="shared" si="48"/>
        <v>15266.2125</v>
      </c>
    </row>
    <row r="397" spans="1:13" x14ac:dyDescent="0.4">
      <c r="A397" t="s">
        <v>33</v>
      </c>
      <c r="B397">
        <v>3</v>
      </c>
      <c r="C397" s="36">
        <v>49788.71</v>
      </c>
      <c r="D397" s="1">
        <v>44774</v>
      </c>
      <c r="E397" s="35">
        <f t="shared" si="42"/>
        <v>0.33</v>
      </c>
      <c r="F397" s="37">
        <f t="shared" si="43"/>
        <v>24894.355</v>
      </c>
      <c r="G397" s="37">
        <f t="shared" si="44"/>
        <v>8215.1371500000005</v>
      </c>
      <c r="H397" s="36" cm="1">
        <f t="array" ref="H397">SUMPRODUCT((C397&gt;tier_floor)*((C397-tier_floor)*step)*margin_rate)</f>
        <v>7215.1371500000005</v>
      </c>
      <c r="I397" s="37">
        <f t="shared" si="45"/>
        <v>1000</v>
      </c>
      <c r="J397" s="38">
        <f t="shared" si="46"/>
        <v>2022</v>
      </c>
      <c r="K397" s="128">
        <f>(1+target)^($J397-(MIN(tbl_rep_mon[year])))</f>
        <v>1.1499999999999999</v>
      </c>
      <c r="L397" s="35">
        <f t="shared" si="47"/>
        <v>0.33</v>
      </c>
      <c r="M397" s="37">
        <f t="shared" si="48"/>
        <v>8215.1371500000005</v>
      </c>
    </row>
    <row r="398" spans="1:13" x14ac:dyDescent="0.4">
      <c r="A398" t="s">
        <v>34</v>
      </c>
      <c r="B398">
        <v>4</v>
      </c>
      <c r="C398" s="36">
        <v>46972.41</v>
      </c>
      <c r="D398" s="1">
        <v>44774</v>
      </c>
      <c r="E398" s="35">
        <f t="shared" si="42"/>
        <v>0.33</v>
      </c>
      <c r="F398" s="37">
        <f t="shared" si="43"/>
        <v>23486.205000000002</v>
      </c>
      <c r="G398" s="37">
        <f t="shared" si="44"/>
        <v>7750.447650000001</v>
      </c>
      <c r="H398" s="36" cm="1">
        <f t="array" ref="H398">SUMPRODUCT((C398&gt;tier_floor)*((C398-tier_floor)*step)*margin_rate)</f>
        <v>6750.447650000001</v>
      </c>
      <c r="I398" s="37">
        <f t="shared" si="45"/>
        <v>1000</v>
      </c>
      <c r="J398" s="38">
        <f t="shared" si="46"/>
        <v>2022</v>
      </c>
      <c r="K398" s="128">
        <f>(1+target)^($J398-(MIN(tbl_rep_mon[year])))</f>
        <v>1.1499999999999999</v>
      </c>
      <c r="L398" s="35">
        <f t="shared" si="47"/>
        <v>0.33</v>
      </c>
      <c r="M398" s="37">
        <f t="shared" si="48"/>
        <v>7750.447650000001</v>
      </c>
    </row>
    <row r="399" spans="1:13" x14ac:dyDescent="0.4">
      <c r="A399" t="s">
        <v>35</v>
      </c>
      <c r="B399">
        <v>4</v>
      </c>
      <c r="C399" s="36">
        <v>50850.57</v>
      </c>
      <c r="D399" s="1">
        <v>44774</v>
      </c>
      <c r="E399" s="35">
        <f t="shared" si="42"/>
        <v>0.42</v>
      </c>
      <c r="F399" s="37">
        <f t="shared" si="43"/>
        <v>25425.285</v>
      </c>
      <c r="G399" s="37">
        <f t="shared" si="44"/>
        <v>10678.619699999999</v>
      </c>
      <c r="H399" s="36" cm="1">
        <f t="array" ref="H399">SUMPRODUCT((C399&gt;tier_floor)*((C399-tier_floor)*step)*margin_rate)</f>
        <v>7428.6196999999993</v>
      </c>
      <c r="I399" s="37">
        <f t="shared" si="45"/>
        <v>3250</v>
      </c>
      <c r="J399" s="38">
        <f t="shared" si="46"/>
        <v>2022</v>
      </c>
      <c r="K399" s="128">
        <f>(1+target)^($J399-(MIN(tbl_rep_mon[year])))</f>
        <v>1.1499999999999999</v>
      </c>
      <c r="L399" s="35">
        <f t="shared" si="47"/>
        <v>0.33</v>
      </c>
      <c r="M399" s="37">
        <f t="shared" si="48"/>
        <v>8390.3440499999997</v>
      </c>
    </row>
    <row r="400" spans="1:13" x14ac:dyDescent="0.4">
      <c r="A400" t="s">
        <v>36</v>
      </c>
      <c r="B400">
        <v>2</v>
      </c>
      <c r="C400" s="36">
        <v>26619.040000000001</v>
      </c>
      <c r="D400" s="1">
        <v>44774</v>
      </c>
      <c r="E400" s="35">
        <f t="shared" si="42"/>
        <v>0.33</v>
      </c>
      <c r="F400" s="37">
        <f t="shared" si="43"/>
        <v>13309.52</v>
      </c>
      <c r="G400" s="37">
        <f t="shared" si="44"/>
        <v>4392.1415999999999</v>
      </c>
      <c r="H400" s="36" cm="1">
        <f t="array" ref="H400">SUMPRODUCT((C400&gt;tier_floor)*((C400-tier_floor)*step)*margin_rate)</f>
        <v>3392.1415999999999</v>
      </c>
      <c r="I400" s="37">
        <f t="shared" si="45"/>
        <v>1000</v>
      </c>
      <c r="J400" s="38">
        <f t="shared" si="46"/>
        <v>2022</v>
      </c>
      <c r="K400" s="128">
        <f>(1+target)^($J400-(MIN(tbl_rep_mon[year])))</f>
        <v>1.1499999999999999</v>
      </c>
      <c r="L400" s="35">
        <f t="shared" si="47"/>
        <v>0.25</v>
      </c>
      <c r="M400" s="37">
        <f t="shared" si="48"/>
        <v>3327.38</v>
      </c>
    </row>
    <row r="401" spans="1:13" x14ac:dyDescent="0.4">
      <c r="A401" t="s">
        <v>37</v>
      </c>
      <c r="B401">
        <v>4</v>
      </c>
      <c r="C401" s="36">
        <v>20644.97</v>
      </c>
      <c r="D401" s="1">
        <v>44774</v>
      </c>
      <c r="E401" s="35">
        <f t="shared" si="42"/>
        <v>0.25</v>
      </c>
      <c r="F401" s="37">
        <f t="shared" si="43"/>
        <v>10322.485000000001</v>
      </c>
      <c r="G401" s="37">
        <f t="shared" si="44"/>
        <v>2580.6212500000001</v>
      </c>
      <c r="H401" s="36" cm="1">
        <f t="array" ref="H401">SUMPRODUCT((C401&gt;tier_floor)*((C401-tier_floor)*step)*margin_rate)</f>
        <v>2580.6212500000001</v>
      </c>
      <c r="I401" s="37">
        <f t="shared" si="45"/>
        <v>0</v>
      </c>
      <c r="J401" s="38">
        <f t="shared" si="46"/>
        <v>2022</v>
      </c>
      <c r="K401" s="128">
        <f>(1+target)^($J401-(MIN(tbl_rep_mon[year])))</f>
        <v>1.1499999999999999</v>
      </c>
      <c r="L401" s="35">
        <f t="shared" si="47"/>
        <v>0.25</v>
      </c>
      <c r="M401" s="37">
        <f t="shared" si="48"/>
        <v>2580.6212500000001</v>
      </c>
    </row>
    <row r="402" spans="1:13" x14ac:dyDescent="0.4">
      <c r="A402" t="s">
        <v>6</v>
      </c>
      <c r="B402">
        <v>2</v>
      </c>
      <c r="C402" s="36">
        <v>45704.13</v>
      </c>
      <c r="D402" s="1">
        <v>44805</v>
      </c>
      <c r="E402" s="35">
        <f t="shared" si="42"/>
        <v>0.33</v>
      </c>
      <c r="F402" s="37">
        <f t="shared" si="43"/>
        <v>22852.064999999999</v>
      </c>
      <c r="G402" s="37">
        <f t="shared" si="44"/>
        <v>7541.18145</v>
      </c>
      <c r="H402" s="36" cm="1">
        <f t="array" ref="H402">SUMPRODUCT((C402&gt;tier_floor)*((C402-tier_floor)*step)*margin_rate)</f>
        <v>6541.18145</v>
      </c>
      <c r="I402" s="37">
        <f t="shared" si="45"/>
        <v>1000</v>
      </c>
      <c r="J402" s="38">
        <f t="shared" si="46"/>
        <v>2022</v>
      </c>
      <c r="K402" s="128">
        <f>(1+target)^($J402-(MIN(tbl_rep_mon[year])))</f>
        <v>1.1499999999999999</v>
      </c>
      <c r="L402" s="35">
        <f t="shared" si="47"/>
        <v>0.33</v>
      </c>
      <c r="M402" s="37">
        <f t="shared" si="48"/>
        <v>7541.18145</v>
      </c>
    </row>
    <row r="403" spans="1:13" x14ac:dyDescent="0.4">
      <c r="A403" t="s">
        <v>7</v>
      </c>
      <c r="B403">
        <v>4</v>
      </c>
      <c r="C403" s="36">
        <v>59473.82</v>
      </c>
      <c r="D403" s="1">
        <v>44805</v>
      </c>
      <c r="E403" s="35">
        <f t="shared" si="42"/>
        <v>0.42</v>
      </c>
      <c r="F403" s="37">
        <f t="shared" si="43"/>
        <v>29736.91</v>
      </c>
      <c r="G403" s="37">
        <f t="shared" si="44"/>
        <v>12489.502199999999</v>
      </c>
      <c r="H403" s="36" cm="1">
        <f t="array" ref="H403">SUMPRODUCT((C403&gt;tier_floor)*((C403-tier_floor)*step)*margin_rate)</f>
        <v>9239.502199999999</v>
      </c>
      <c r="I403" s="37">
        <f t="shared" si="45"/>
        <v>3250</v>
      </c>
      <c r="J403" s="38">
        <f t="shared" si="46"/>
        <v>2022</v>
      </c>
      <c r="K403" s="128">
        <f>(1+target)^($J403-(MIN(tbl_rep_mon[year])))</f>
        <v>1.1499999999999999</v>
      </c>
      <c r="L403" s="35">
        <f t="shared" si="47"/>
        <v>0.42</v>
      </c>
      <c r="M403" s="37">
        <f t="shared" si="48"/>
        <v>12489.502199999999</v>
      </c>
    </row>
    <row r="404" spans="1:13" x14ac:dyDescent="0.4">
      <c r="A404" t="s">
        <v>8</v>
      </c>
      <c r="B404">
        <v>4</v>
      </c>
      <c r="C404" s="36">
        <v>45909</v>
      </c>
      <c r="D404" s="1">
        <v>44805</v>
      </c>
      <c r="E404" s="35">
        <f t="shared" si="42"/>
        <v>0.33</v>
      </c>
      <c r="F404" s="37">
        <f t="shared" si="43"/>
        <v>22954.5</v>
      </c>
      <c r="G404" s="37">
        <f t="shared" si="44"/>
        <v>7574.9850000000006</v>
      </c>
      <c r="H404" s="36" cm="1">
        <f t="array" ref="H404">SUMPRODUCT((C404&gt;tier_floor)*((C404-tier_floor)*step)*margin_rate)</f>
        <v>6574.9850000000006</v>
      </c>
      <c r="I404" s="37">
        <f t="shared" si="45"/>
        <v>1000</v>
      </c>
      <c r="J404" s="38">
        <f t="shared" si="46"/>
        <v>2022</v>
      </c>
      <c r="K404" s="128">
        <f>(1+target)^($J404-(MIN(tbl_rep_mon[year])))</f>
        <v>1.1499999999999999</v>
      </c>
      <c r="L404" s="35">
        <f t="shared" si="47"/>
        <v>0.33</v>
      </c>
      <c r="M404" s="37">
        <f t="shared" si="48"/>
        <v>7574.9850000000006</v>
      </c>
    </row>
    <row r="405" spans="1:13" x14ac:dyDescent="0.4">
      <c r="A405" t="s">
        <v>15</v>
      </c>
      <c r="B405">
        <v>3</v>
      </c>
      <c r="C405" s="36">
        <v>52784.68</v>
      </c>
      <c r="D405" s="1">
        <v>44805</v>
      </c>
      <c r="E405" s="35">
        <f t="shared" si="42"/>
        <v>0.42</v>
      </c>
      <c r="F405" s="37">
        <f t="shared" si="43"/>
        <v>26392.34</v>
      </c>
      <c r="G405" s="37">
        <f t="shared" si="44"/>
        <v>11084.782799999999</v>
      </c>
      <c r="H405" s="36" cm="1">
        <f t="array" ref="H405">SUMPRODUCT((C405&gt;tier_floor)*((C405-tier_floor)*step)*margin_rate)</f>
        <v>7834.7828</v>
      </c>
      <c r="I405" s="37">
        <f t="shared" si="45"/>
        <v>3249.9999999999991</v>
      </c>
      <c r="J405" s="38">
        <f t="shared" si="46"/>
        <v>2022</v>
      </c>
      <c r="K405" s="128">
        <f>(1+target)^($J405-(MIN(tbl_rep_mon[year])))</f>
        <v>1.1499999999999999</v>
      </c>
      <c r="L405" s="35">
        <f t="shared" si="47"/>
        <v>0.33</v>
      </c>
      <c r="M405" s="37">
        <f t="shared" si="48"/>
        <v>8709.4722000000002</v>
      </c>
    </row>
    <row r="406" spans="1:13" x14ac:dyDescent="0.4">
      <c r="A406" t="s">
        <v>16</v>
      </c>
      <c r="B406">
        <v>3</v>
      </c>
      <c r="C406" s="36">
        <v>79597.740000000005</v>
      </c>
      <c r="D406" s="1">
        <v>44805</v>
      </c>
      <c r="E406" s="35">
        <f t="shared" si="42"/>
        <v>0.51</v>
      </c>
      <c r="F406" s="37">
        <f t="shared" si="43"/>
        <v>39798.870000000003</v>
      </c>
      <c r="G406" s="37">
        <f t="shared" si="44"/>
        <v>20297.423700000003</v>
      </c>
      <c r="H406" s="36" cm="1">
        <f t="array" ref="H406">SUMPRODUCT((C406&gt;tier_floor)*((C406-tier_floor)*step)*margin_rate)</f>
        <v>13672.423700000003</v>
      </c>
      <c r="I406" s="37">
        <f t="shared" si="45"/>
        <v>6625</v>
      </c>
      <c r="J406" s="38">
        <f t="shared" si="46"/>
        <v>2022</v>
      </c>
      <c r="K406" s="128">
        <f>(1+target)^($J406-(MIN(tbl_rep_mon[year])))</f>
        <v>1.1499999999999999</v>
      </c>
      <c r="L406" s="35">
        <f t="shared" si="47"/>
        <v>0.42</v>
      </c>
      <c r="M406" s="37">
        <f t="shared" si="48"/>
        <v>16715.525400000002</v>
      </c>
    </row>
    <row r="407" spans="1:13" x14ac:dyDescent="0.4">
      <c r="A407" t="s">
        <v>18</v>
      </c>
      <c r="B407">
        <v>3</v>
      </c>
      <c r="C407" s="36">
        <v>89164.41</v>
      </c>
      <c r="D407" s="1">
        <v>44805</v>
      </c>
      <c r="E407" s="35">
        <f t="shared" si="42"/>
        <v>0.51</v>
      </c>
      <c r="F407" s="37">
        <f t="shared" si="43"/>
        <v>44582.205000000002</v>
      </c>
      <c r="G407" s="37">
        <f t="shared" si="44"/>
        <v>22736.92455</v>
      </c>
      <c r="H407" s="36" cm="1">
        <f t="array" ref="H407">SUMPRODUCT((C407&gt;tier_floor)*((C407-tier_floor)*step)*margin_rate)</f>
        <v>16111.924550000002</v>
      </c>
      <c r="I407" s="37">
        <f t="shared" si="45"/>
        <v>6624.9999999999982</v>
      </c>
      <c r="J407" s="38">
        <f t="shared" si="46"/>
        <v>2022</v>
      </c>
      <c r="K407" s="128">
        <f>(1+target)^($J407-(MIN(tbl_rep_mon[year])))</f>
        <v>1.1499999999999999</v>
      </c>
      <c r="L407" s="35">
        <f t="shared" si="47"/>
        <v>0.51</v>
      </c>
      <c r="M407" s="37">
        <f t="shared" si="48"/>
        <v>22736.92455</v>
      </c>
    </row>
    <row r="408" spans="1:13" x14ac:dyDescent="0.4">
      <c r="A408" t="s">
        <v>19</v>
      </c>
      <c r="B408">
        <v>4</v>
      </c>
      <c r="C408" s="36">
        <v>49708.62</v>
      </c>
      <c r="D408" s="1">
        <v>44805</v>
      </c>
      <c r="E408" s="35">
        <f t="shared" si="42"/>
        <v>0.33</v>
      </c>
      <c r="F408" s="37">
        <f t="shared" si="43"/>
        <v>24854.31</v>
      </c>
      <c r="G408" s="37">
        <f t="shared" si="44"/>
        <v>8201.9223000000002</v>
      </c>
      <c r="H408" s="36" cm="1">
        <f t="array" ref="H408">SUMPRODUCT((C408&gt;tier_floor)*((C408-tier_floor)*step)*margin_rate)</f>
        <v>7201.9223000000002</v>
      </c>
      <c r="I408" s="37">
        <f t="shared" si="45"/>
        <v>1000</v>
      </c>
      <c r="J408" s="38">
        <f t="shared" si="46"/>
        <v>2022</v>
      </c>
      <c r="K408" s="128">
        <f>(1+target)^($J408-(MIN(tbl_rep_mon[year])))</f>
        <v>1.1499999999999999</v>
      </c>
      <c r="L408" s="35">
        <f t="shared" si="47"/>
        <v>0.33</v>
      </c>
      <c r="M408" s="37">
        <f t="shared" si="48"/>
        <v>8201.9223000000002</v>
      </c>
    </row>
    <row r="409" spans="1:13" x14ac:dyDescent="0.4">
      <c r="A409" t="s">
        <v>23</v>
      </c>
      <c r="B409">
        <v>1</v>
      </c>
      <c r="C409" s="36">
        <v>105302.3</v>
      </c>
      <c r="D409" s="1">
        <v>44805</v>
      </c>
      <c r="E409" s="35">
        <f t="shared" si="42"/>
        <v>0.6</v>
      </c>
      <c r="F409" s="37">
        <f t="shared" si="43"/>
        <v>52651.15</v>
      </c>
      <c r="G409" s="37">
        <f t="shared" si="44"/>
        <v>31590.69</v>
      </c>
      <c r="H409" s="36" cm="1">
        <f t="array" ref="H409">SUMPRODUCT((C409&gt;tier_floor)*((C409-tier_floor)*step)*margin_rate)</f>
        <v>20465.690000000002</v>
      </c>
      <c r="I409" s="37">
        <f t="shared" si="45"/>
        <v>11124.999999999996</v>
      </c>
      <c r="J409" s="38">
        <f t="shared" si="46"/>
        <v>2022</v>
      </c>
      <c r="K409" s="128">
        <f>(1+target)^($J409-(MIN(tbl_rep_mon[year])))</f>
        <v>1.1499999999999999</v>
      </c>
      <c r="L409" s="35">
        <f t="shared" si="47"/>
        <v>0.51</v>
      </c>
      <c r="M409" s="37">
        <f t="shared" si="48"/>
        <v>26852.086500000001</v>
      </c>
    </row>
    <row r="410" spans="1:13" x14ac:dyDescent="0.4">
      <c r="A410" t="s">
        <v>24</v>
      </c>
      <c r="B410">
        <v>3</v>
      </c>
      <c r="C410" s="36">
        <v>58733.279999999999</v>
      </c>
      <c r="D410" s="1">
        <v>44805</v>
      </c>
      <c r="E410" s="35">
        <f t="shared" si="42"/>
        <v>0.42</v>
      </c>
      <c r="F410" s="37">
        <f t="shared" si="43"/>
        <v>29366.639999999999</v>
      </c>
      <c r="G410" s="37">
        <f t="shared" si="44"/>
        <v>12333.988799999999</v>
      </c>
      <c r="H410" s="36" cm="1">
        <f t="array" ref="H410">SUMPRODUCT((C410&gt;tier_floor)*((C410-tier_floor)*step)*margin_rate)</f>
        <v>9083.988800000001</v>
      </c>
      <c r="I410" s="37">
        <f t="shared" si="45"/>
        <v>3249.9999999999982</v>
      </c>
      <c r="J410" s="38">
        <f t="shared" si="46"/>
        <v>2022</v>
      </c>
      <c r="K410" s="128">
        <f>(1+target)^($J410-(MIN(tbl_rep_mon[year])))</f>
        <v>1.1499999999999999</v>
      </c>
      <c r="L410" s="35">
        <f t="shared" si="47"/>
        <v>0.42</v>
      </c>
      <c r="M410" s="37">
        <f t="shared" si="48"/>
        <v>12333.988799999999</v>
      </c>
    </row>
    <row r="411" spans="1:13" x14ac:dyDescent="0.4">
      <c r="A411" t="s">
        <v>25</v>
      </c>
      <c r="B411">
        <v>2</v>
      </c>
      <c r="C411" s="36">
        <v>61799.19</v>
      </c>
      <c r="D411" s="1">
        <v>44805</v>
      </c>
      <c r="E411" s="35">
        <f t="shared" si="42"/>
        <v>0.42</v>
      </c>
      <c r="F411" s="37">
        <f t="shared" si="43"/>
        <v>30899.595000000001</v>
      </c>
      <c r="G411" s="37">
        <f t="shared" si="44"/>
        <v>12977.829900000001</v>
      </c>
      <c r="H411" s="36" cm="1">
        <f t="array" ref="H411">SUMPRODUCT((C411&gt;tier_floor)*((C411-tier_floor)*step)*margin_rate)</f>
        <v>9727.8299000000006</v>
      </c>
      <c r="I411" s="37">
        <f t="shared" si="45"/>
        <v>3250</v>
      </c>
      <c r="J411" s="38">
        <f t="shared" si="46"/>
        <v>2022</v>
      </c>
      <c r="K411" s="128">
        <f>(1+target)^($J411-(MIN(tbl_rep_mon[year])))</f>
        <v>1.1499999999999999</v>
      </c>
      <c r="L411" s="35">
        <f t="shared" si="47"/>
        <v>0.42</v>
      </c>
      <c r="M411" s="37">
        <f t="shared" si="48"/>
        <v>12977.829900000001</v>
      </c>
    </row>
    <row r="412" spans="1:13" x14ac:dyDescent="0.4">
      <c r="A412" t="s">
        <v>26</v>
      </c>
      <c r="B412">
        <v>2</v>
      </c>
      <c r="C412" s="36">
        <v>59225.45</v>
      </c>
      <c r="D412" s="1">
        <v>44805</v>
      </c>
      <c r="E412" s="35">
        <f t="shared" si="42"/>
        <v>0.42</v>
      </c>
      <c r="F412" s="37">
        <f t="shared" si="43"/>
        <v>29612.724999999999</v>
      </c>
      <c r="G412" s="37">
        <f t="shared" si="44"/>
        <v>12437.344499999999</v>
      </c>
      <c r="H412" s="36" cm="1">
        <f t="array" ref="H412">SUMPRODUCT((C412&gt;tier_floor)*((C412-tier_floor)*step)*margin_rate)</f>
        <v>9187.3444999999992</v>
      </c>
      <c r="I412" s="37">
        <f t="shared" si="45"/>
        <v>3250</v>
      </c>
      <c r="J412" s="38">
        <f t="shared" si="46"/>
        <v>2022</v>
      </c>
      <c r="K412" s="128">
        <f>(1+target)^($J412-(MIN(tbl_rep_mon[year])))</f>
        <v>1.1499999999999999</v>
      </c>
      <c r="L412" s="35">
        <f t="shared" si="47"/>
        <v>0.42</v>
      </c>
      <c r="M412" s="37">
        <f t="shared" si="48"/>
        <v>12437.344499999999</v>
      </c>
    </row>
    <row r="413" spans="1:13" x14ac:dyDescent="0.4">
      <c r="A413" t="s">
        <v>28</v>
      </c>
      <c r="B413">
        <v>2</v>
      </c>
      <c r="C413" s="36">
        <v>64483.87</v>
      </c>
      <c r="D413" s="1">
        <v>44805</v>
      </c>
      <c r="E413" s="35">
        <f t="shared" si="42"/>
        <v>0.42</v>
      </c>
      <c r="F413" s="37">
        <f t="shared" si="43"/>
        <v>32241.935000000001</v>
      </c>
      <c r="G413" s="37">
        <f t="shared" si="44"/>
        <v>13541.6127</v>
      </c>
      <c r="H413" s="36" cm="1">
        <f t="array" ref="H413">SUMPRODUCT((C413&gt;tier_floor)*((C413-tier_floor)*step)*margin_rate)</f>
        <v>10291.6127</v>
      </c>
      <c r="I413" s="37">
        <f t="shared" si="45"/>
        <v>3250</v>
      </c>
      <c r="J413" s="38">
        <f t="shared" si="46"/>
        <v>2022</v>
      </c>
      <c r="K413" s="128">
        <f>(1+target)^($J413-(MIN(tbl_rep_mon[year])))</f>
        <v>1.1499999999999999</v>
      </c>
      <c r="L413" s="35">
        <f t="shared" si="47"/>
        <v>0.42</v>
      </c>
      <c r="M413" s="37">
        <f t="shared" si="48"/>
        <v>13541.6127</v>
      </c>
    </row>
    <row r="414" spans="1:13" x14ac:dyDescent="0.4">
      <c r="A414" t="s">
        <v>29</v>
      </c>
      <c r="B414">
        <v>1</v>
      </c>
      <c r="C414" s="36">
        <v>83327.02</v>
      </c>
      <c r="D414" s="1">
        <v>44805</v>
      </c>
      <c r="E414" s="35">
        <f t="shared" si="42"/>
        <v>0.51</v>
      </c>
      <c r="F414" s="37">
        <f t="shared" si="43"/>
        <v>41663.51</v>
      </c>
      <c r="G414" s="37">
        <f t="shared" si="44"/>
        <v>21248.390100000001</v>
      </c>
      <c r="H414" s="36" cm="1">
        <f t="array" ref="H414">SUMPRODUCT((C414&gt;tier_floor)*((C414-tier_floor)*step)*margin_rate)</f>
        <v>14623.390100000002</v>
      </c>
      <c r="I414" s="37">
        <f t="shared" si="45"/>
        <v>6624.9999999999982</v>
      </c>
      <c r="J414" s="38">
        <f t="shared" si="46"/>
        <v>2022</v>
      </c>
      <c r="K414" s="128">
        <f>(1+target)^($J414-(MIN(tbl_rep_mon[year])))</f>
        <v>1.1499999999999999</v>
      </c>
      <c r="L414" s="35">
        <f t="shared" si="47"/>
        <v>0.42</v>
      </c>
      <c r="M414" s="37">
        <f t="shared" si="48"/>
        <v>17498.674200000001</v>
      </c>
    </row>
    <row r="415" spans="1:13" x14ac:dyDescent="0.4">
      <c r="A415" t="s">
        <v>31</v>
      </c>
      <c r="B415">
        <v>4</v>
      </c>
      <c r="C415" s="36">
        <v>40109.03</v>
      </c>
      <c r="D415" s="1">
        <v>44805</v>
      </c>
      <c r="E415" s="35">
        <f t="shared" si="42"/>
        <v>0.33</v>
      </c>
      <c r="F415" s="37">
        <f t="shared" si="43"/>
        <v>20054.514999999999</v>
      </c>
      <c r="G415" s="37">
        <f t="shared" si="44"/>
        <v>6617.9899500000001</v>
      </c>
      <c r="H415" s="36" cm="1">
        <f t="array" ref="H415">SUMPRODUCT((C415&gt;tier_floor)*((C415-tier_floor)*step)*margin_rate)</f>
        <v>5617.9899500000001</v>
      </c>
      <c r="I415" s="37">
        <f t="shared" si="45"/>
        <v>1000</v>
      </c>
      <c r="J415" s="38">
        <f t="shared" si="46"/>
        <v>2022</v>
      </c>
      <c r="K415" s="128">
        <f>(1+target)^($J415-(MIN(tbl_rep_mon[year])))</f>
        <v>1.1499999999999999</v>
      </c>
      <c r="L415" s="35">
        <f t="shared" si="47"/>
        <v>0.33</v>
      </c>
      <c r="M415" s="37">
        <f t="shared" si="48"/>
        <v>6617.9899500000001</v>
      </c>
    </row>
    <row r="416" spans="1:13" x14ac:dyDescent="0.4">
      <c r="A416" t="s">
        <v>32</v>
      </c>
      <c r="B416">
        <v>4</v>
      </c>
      <c r="C416" s="36">
        <v>54291.040000000001</v>
      </c>
      <c r="D416" s="1">
        <v>44805</v>
      </c>
      <c r="E416" s="35">
        <f t="shared" si="42"/>
        <v>0.42</v>
      </c>
      <c r="F416" s="37">
        <f t="shared" si="43"/>
        <v>27145.52</v>
      </c>
      <c r="G416" s="37">
        <f t="shared" si="44"/>
        <v>11401.118399999999</v>
      </c>
      <c r="H416" s="36" cm="1">
        <f t="array" ref="H416">SUMPRODUCT((C416&gt;tier_floor)*((C416-tier_floor)*step)*margin_rate)</f>
        <v>8151.1184000000003</v>
      </c>
      <c r="I416" s="37">
        <f t="shared" si="45"/>
        <v>3249.9999999999991</v>
      </c>
      <c r="J416" s="38">
        <f t="shared" si="46"/>
        <v>2022</v>
      </c>
      <c r="K416" s="128">
        <f>(1+target)^($J416-(MIN(tbl_rep_mon[year])))</f>
        <v>1.1499999999999999</v>
      </c>
      <c r="L416" s="35">
        <f t="shared" si="47"/>
        <v>0.33</v>
      </c>
      <c r="M416" s="37">
        <f t="shared" si="48"/>
        <v>8958.0216</v>
      </c>
    </row>
    <row r="417" spans="1:13" x14ac:dyDescent="0.4">
      <c r="A417" t="s">
        <v>33</v>
      </c>
      <c r="B417">
        <v>3</v>
      </c>
      <c r="C417" s="36">
        <v>48136.54</v>
      </c>
      <c r="D417" s="1">
        <v>44805</v>
      </c>
      <c r="E417" s="35">
        <f t="shared" si="42"/>
        <v>0.33</v>
      </c>
      <c r="F417" s="37">
        <f t="shared" si="43"/>
        <v>24068.27</v>
      </c>
      <c r="G417" s="37">
        <f t="shared" si="44"/>
        <v>7942.5291000000007</v>
      </c>
      <c r="H417" s="36" cm="1">
        <f t="array" ref="H417">SUMPRODUCT((C417&gt;tier_floor)*((C417-tier_floor)*step)*margin_rate)</f>
        <v>6942.5291000000007</v>
      </c>
      <c r="I417" s="37">
        <f t="shared" si="45"/>
        <v>1000</v>
      </c>
      <c r="J417" s="38">
        <f t="shared" si="46"/>
        <v>2022</v>
      </c>
      <c r="K417" s="128">
        <f>(1+target)^($J417-(MIN(tbl_rep_mon[year])))</f>
        <v>1.1499999999999999</v>
      </c>
      <c r="L417" s="35">
        <f t="shared" si="47"/>
        <v>0.33</v>
      </c>
      <c r="M417" s="37">
        <f t="shared" si="48"/>
        <v>7942.5291000000007</v>
      </c>
    </row>
    <row r="418" spans="1:13" x14ac:dyDescent="0.4">
      <c r="A418" t="s">
        <v>34</v>
      </c>
      <c r="B418">
        <v>4</v>
      </c>
      <c r="C418" s="36">
        <v>70617.08</v>
      </c>
      <c r="D418" s="1">
        <v>44805</v>
      </c>
      <c r="E418" s="35">
        <f t="shared" si="42"/>
        <v>0.42</v>
      </c>
      <c r="F418" s="37">
        <f t="shared" si="43"/>
        <v>35308.54</v>
      </c>
      <c r="G418" s="37">
        <f t="shared" si="44"/>
        <v>14829.586799999999</v>
      </c>
      <c r="H418" s="36" cm="1">
        <f t="array" ref="H418">SUMPRODUCT((C418&gt;tier_floor)*((C418-tier_floor)*step)*margin_rate)</f>
        <v>11579.586800000001</v>
      </c>
      <c r="I418" s="37">
        <f t="shared" si="45"/>
        <v>3249.9999999999982</v>
      </c>
      <c r="J418" s="38">
        <f t="shared" si="46"/>
        <v>2022</v>
      </c>
      <c r="K418" s="128">
        <f>(1+target)^($J418-(MIN(tbl_rep_mon[year])))</f>
        <v>1.1499999999999999</v>
      </c>
      <c r="L418" s="35">
        <f t="shared" si="47"/>
        <v>0.42</v>
      </c>
      <c r="M418" s="37">
        <f t="shared" si="48"/>
        <v>14829.586799999999</v>
      </c>
    </row>
    <row r="419" spans="1:13" x14ac:dyDescent="0.4">
      <c r="A419" t="s">
        <v>35</v>
      </c>
      <c r="B419">
        <v>4</v>
      </c>
      <c r="C419" s="36">
        <v>52742.43</v>
      </c>
      <c r="D419" s="1">
        <v>44805</v>
      </c>
      <c r="E419" s="35">
        <f t="shared" si="42"/>
        <v>0.42</v>
      </c>
      <c r="F419" s="37">
        <f t="shared" si="43"/>
        <v>26371.215</v>
      </c>
      <c r="G419" s="37">
        <f t="shared" si="44"/>
        <v>11075.9103</v>
      </c>
      <c r="H419" s="36" cm="1">
        <f t="array" ref="H419">SUMPRODUCT((C419&gt;tier_floor)*((C419-tier_floor)*step)*margin_rate)</f>
        <v>7825.9103000000005</v>
      </c>
      <c r="I419" s="37">
        <f t="shared" si="45"/>
        <v>3249.9999999999991</v>
      </c>
      <c r="J419" s="38">
        <f t="shared" si="46"/>
        <v>2022</v>
      </c>
      <c r="K419" s="128">
        <f>(1+target)^($J419-(MIN(tbl_rep_mon[year])))</f>
        <v>1.1499999999999999</v>
      </c>
      <c r="L419" s="35">
        <f t="shared" si="47"/>
        <v>0.33</v>
      </c>
      <c r="M419" s="37">
        <f t="shared" si="48"/>
        <v>8702.5009499999996</v>
      </c>
    </row>
    <row r="420" spans="1:13" x14ac:dyDescent="0.4">
      <c r="A420" t="s">
        <v>36</v>
      </c>
      <c r="B420">
        <v>2</v>
      </c>
      <c r="C420" s="36">
        <v>72148.399999999994</v>
      </c>
      <c r="D420" s="1">
        <v>44805</v>
      </c>
      <c r="E420" s="35">
        <f t="shared" si="42"/>
        <v>0.42</v>
      </c>
      <c r="F420" s="37">
        <f t="shared" si="43"/>
        <v>36074.199999999997</v>
      </c>
      <c r="G420" s="37">
        <f t="shared" si="44"/>
        <v>15151.163999999999</v>
      </c>
      <c r="H420" s="36" cm="1">
        <f t="array" ref="H420">SUMPRODUCT((C420&gt;tier_floor)*((C420-tier_floor)*step)*margin_rate)</f>
        <v>11901.163999999999</v>
      </c>
      <c r="I420" s="37">
        <f t="shared" si="45"/>
        <v>3250</v>
      </c>
      <c r="J420" s="38">
        <f t="shared" si="46"/>
        <v>2022</v>
      </c>
      <c r="K420" s="128">
        <f>(1+target)^($J420-(MIN(tbl_rep_mon[year])))</f>
        <v>1.1499999999999999</v>
      </c>
      <c r="L420" s="35">
        <f t="shared" si="47"/>
        <v>0.42</v>
      </c>
      <c r="M420" s="37">
        <f t="shared" si="48"/>
        <v>15151.163999999999</v>
      </c>
    </row>
    <row r="421" spans="1:13" x14ac:dyDescent="0.4">
      <c r="A421" t="s">
        <v>37</v>
      </c>
      <c r="B421">
        <v>4</v>
      </c>
      <c r="C421" s="36">
        <v>69724.11</v>
      </c>
      <c r="D421" s="1">
        <v>44805</v>
      </c>
      <c r="E421" s="35">
        <f t="shared" si="42"/>
        <v>0.42</v>
      </c>
      <c r="F421" s="37">
        <f t="shared" si="43"/>
        <v>34862.055</v>
      </c>
      <c r="G421" s="37">
        <f t="shared" si="44"/>
        <v>14642.063099999999</v>
      </c>
      <c r="H421" s="36" cm="1">
        <f t="array" ref="H421">SUMPRODUCT((C421&gt;tier_floor)*((C421-tier_floor)*step)*margin_rate)</f>
        <v>11392.063100000001</v>
      </c>
      <c r="I421" s="37">
        <f t="shared" si="45"/>
        <v>3249.9999999999982</v>
      </c>
      <c r="J421" s="38">
        <f t="shared" si="46"/>
        <v>2022</v>
      </c>
      <c r="K421" s="128">
        <f>(1+target)^($J421-(MIN(tbl_rep_mon[year])))</f>
        <v>1.1499999999999999</v>
      </c>
      <c r="L421" s="35">
        <f t="shared" si="47"/>
        <v>0.42</v>
      </c>
      <c r="M421" s="37">
        <f t="shared" si="48"/>
        <v>14642.063099999999</v>
      </c>
    </row>
    <row r="422" spans="1:13" x14ac:dyDescent="0.4">
      <c r="A422" t="s">
        <v>6</v>
      </c>
      <c r="B422">
        <v>2</v>
      </c>
      <c r="C422" s="36">
        <v>51443.83</v>
      </c>
      <c r="D422" s="1">
        <v>44835</v>
      </c>
      <c r="E422" s="35">
        <f t="shared" si="42"/>
        <v>0.42</v>
      </c>
      <c r="F422" s="37">
        <f t="shared" si="43"/>
        <v>25721.915000000001</v>
      </c>
      <c r="G422" s="37">
        <f t="shared" si="44"/>
        <v>10803.204299999999</v>
      </c>
      <c r="H422" s="36" cm="1">
        <f t="array" ref="H422">SUMPRODUCT((C422&gt;tier_floor)*((C422-tier_floor)*step)*margin_rate)</f>
        <v>7553.2043000000003</v>
      </c>
      <c r="I422" s="37">
        <f t="shared" si="45"/>
        <v>3249.9999999999991</v>
      </c>
      <c r="J422" s="38">
        <f t="shared" si="46"/>
        <v>2022</v>
      </c>
      <c r="K422" s="128">
        <f>(1+target)^($J422-(MIN(tbl_rep_mon[year])))</f>
        <v>1.1499999999999999</v>
      </c>
      <c r="L422" s="35">
        <f t="shared" si="47"/>
        <v>0.33</v>
      </c>
      <c r="M422" s="37">
        <f t="shared" si="48"/>
        <v>8488.2319500000012</v>
      </c>
    </row>
    <row r="423" spans="1:13" x14ac:dyDescent="0.4">
      <c r="A423" t="s">
        <v>7</v>
      </c>
      <c r="B423">
        <v>4</v>
      </c>
      <c r="C423" s="36">
        <v>58252.26</v>
      </c>
      <c r="D423" s="1">
        <v>44835</v>
      </c>
      <c r="E423" s="35">
        <f t="shared" si="42"/>
        <v>0.42</v>
      </c>
      <c r="F423" s="37">
        <f t="shared" si="43"/>
        <v>29126.13</v>
      </c>
      <c r="G423" s="37">
        <f t="shared" si="44"/>
        <v>12232.9746</v>
      </c>
      <c r="H423" s="36" cm="1">
        <f t="array" ref="H423">SUMPRODUCT((C423&gt;tier_floor)*((C423-tier_floor)*step)*margin_rate)</f>
        <v>8982.9745999999996</v>
      </c>
      <c r="I423" s="37">
        <f t="shared" si="45"/>
        <v>3250</v>
      </c>
      <c r="J423" s="38">
        <f t="shared" si="46"/>
        <v>2022</v>
      </c>
      <c r="K423" s="128">
        <f>(1+target)^($J423-(MIN(tbl_rep_mon[year])))</f>
        <v>1.1499999999999999</v>
      </c>
      <c r="L423" s="35">
        <f t="shared" si="47"/>
        <v>0.42</v>
      </c>
      <c r="M423" s="37">
        <f t="shared" si="48"/>
        <v>12232.9746</v>
      </c>
    </row>
    <row r="424" spans="1:13" x14ac:dyDescent="0.4">
      <c r="A424" t="s">
        <v>8</v>
      </c>
      <c r="B424">
        <v>4</v>
      </c>
      <c r="C424" s="36">
        <v>56951.57</v>
      </c>
      <c r="D424" s="1">
        <v>44835</v>
      </c>
      <c r="E424" s="35">
        <f t="shared" si="42"/>
        <v>0.42</v>
      </c>
      <c r="F424" s="37">
        <f t="shared" si="43"/>
        <v>28475.785</v>
      </c>
      <c r="G424" s="37">
        <f t="shared" si="44"/>
        <v>11959.8297</v>
      </c>
      <c r="H424" s="36" cm="1">
        <f t="array" ref="H424">SUMPRODUCT((C424&gt;tier_floor)*((C424-tier_floor)*step)*margin_rate)</f>
        <v>8709.8297000000002</v>
      </c>
      <c r="I424" s="37">
        <f t="shared" si="45"/>
        <v>3250</v>
      </c>
      <c r="J424" s="38">
        <f t="shared" si="46"/>
        <v>2022</v>
      </c>
      <c r="K424" s="128">
        <f>(1+target)^($J424-(MIN(tbl_rep_mon[year])))</f>
        <v>1.1499999999999999</v>
      </c>
      <c r="L424" s="35">
        <f t="shared" si="47"/>
        <v>0.33</v>
      </c>
      <c r="M424" s="37">
        <f t="shared" si="48"/>
        <v>9397.0090500000006</v>
      </c>
    </row>
    <row r="425" spans="1:13" x14ac:dyDescent="0.4">
      <c r="A425" t="s">
        <v>15</v>
      </c>
      <c r="B425">
        <v>3</v>
      </c>
      <c r="C425" s="36">
        <v>64669.46</v>
      </c>
      <c r="D425" s="1">
        <v>44835</v>
      </c>
      <c r="E425" s="35">
        <f t="shared" si="42"/>
        <v>0.42</v>
      </c>
      <c r="F425" s="37">
        <f t="shared" si="43"/>
        <v>32334.73</v>
      </c>
      <c r="G425" s="37">
        <f t="shared" si="44"/>
        <v>13580.586599999999</v>
      </c>
      <c r="H425" s="36" cm="1">
        <f t="array" ref="H425">SUMPRODUCT((C425&gt;tier_floor)*((C425-tier_floor)*step)*margin_rate)</f>
        <v>10330.586600000001</v>
      </c>
      <c r="I425" s="37">
        <f t="shared" si="45"/>
        <v>3249.9999999999982</v>
      </c>
      <c r="J425" s="38">
        <f t="shared" si="46"/>
        <v>2022</v>
      </c>
      <c r="K425" s="128">
        <f>(1+target)^($J425-(MIN(tbl_rep_mon[year])))</f>
        <v>1.1499999999999999</v>
      </c>
      <c r="L425" s="35">
        <f t="shared" si="47"/>
        <v>0.42</v>
      </c>
      <c r="M425" s="37">
        <f t="shared" si="48"/>
        <v>13580.586599999999</v>
      </c>
    </row>
    <row r="426" spans="1:13" x14ac:dyDescent="0.4">
      <c r="A426" t="s">
        <v>16</v>
      </c>
      <c r="B426">
        <v>3</v>
      </c>
      <c r="C426" s="36">
        <v>74691.64</v>
      </c>
      <c r="D426" s="1">
        <v>44835</v>
      </c>
      <c r="E426" s="35">
        <f t="shared" si="42"/>
        <v>0.42</v>
      </c>
      <c r="F426" s="37">
        <f t="shared" si="43"/>
        <v>37345.82</v>
      </c>
      <c r="G426" s="37">
        <f t="shared" si="44"/>
        <v>15685.2444</v>
      </c>
      <c r="H426" s="36" cm="1">
        <f t="array" ref="H426">SUMPRODUCT((C426&gt;tier_floor)*((C426-tier_floor)*step)*margin_rate)</f>
        <v>12435.2444</v>
      </c>
      <c r="I426" s="37">
        <f t="shared" si="45"/>
        <v>3250</v>
      </c>
      <c r="J426" s="38">
        <f t="shared" si="46"/>
        <v>2022</v>
      </c>
      <c r="K426" s="128">
        <f>(1+target)^($J426-(MIN(tbl_rep_mon[year])))</f>
        <v>1.1499999999999999</v>
      </c>
      <c r="L426" s="35">
        <f t="shared" si="47"/>
        <v>0.42</v>
      </c>
      <c r="M426" s="37">
        <f t="shared" si="48"/>
        <v>15685.2444</v>
      </c>
    </row>
    <row r="427" spans="1:13" x14ac:dyDescent="0.4">
      <c r="A427" t="s">
        <v>18</v>
      </c>
      <c r="B427">
        <v>3</v>
      </c>
      <c r="C427" s="36">
        <v>65339.25</v>
      </c>
      <c r="D427" s="1">
        <v>44835</v>
      </c>
      <c r="E427" s="35">
        <f t="shared" si="42"/>
        <v>0.42</v>
      </c>
      <c r="F427" s="37">
        <f t="shared" si="43"/>
        <v>32669.625</v>
      </c>
      <c r="G427" s="37">
        <f t="shared" si="44"/>
        <v>13721.2425</v>
      </c>
      <c r="H427" s="36" cm="1">
        <f t="array" ref="H427">SUMPRODUCT((C427&gt;tier_floor)*((C427-tier_floor)*step)*margin_rate)</f>
        <v>10471.2425</v>
      </c>
      <c r="I427" s="37">
        <f t="shared" si="45"/>
        <v>3250</v>
      </c>
      <c r="J427" s="38">
        <f t="shared" si="46"/>
        <v>2022</v>
      </c>
      <c r="K427" s="128">
        <f>(1+target)^($J427-(MIN(tbl_rep_mon[year])))</f>
        <v>1.1499999999999999</v>
      </c>
      <c r="L427" s="35">
        <f t="shared" si="47"/>
        <v>0.42</v>
      </c>
      <c r="M427" s="37">
        <f t="shared" si="48"/>
        <v>13721.2425</v>
      </c>
    </row>
    <row r="428" spans="1:13" x14ac:dyDescent="0.4">
      <c r="A428" t="s">
        <v>19</v>
      </c>
      <c r="B428">
        <v>4</v>
      </c>
      <c r="C428" s="36">
        <v>64309.22</v>
      </c>
      <c r="D428" s="1">
        <v>44835</v>
      </c>
      <c r="E428" s="35">
        <f t="shared" si="42"/>
        <v>0.42</v>
      </c>
      <c r="F428" s="37">
        <f t="shared" si="43"/>
        <v>32154.61</v>
      </c>
      <c r="G428" s="37">
        <f t="shared" si="44"/>
        <v>13504.9362</v>
      </c>
      <c r="H428" s="36" cm="1">
        <f t="array" ref="H428">SUMPRODUCT((C428&gt;tier_floor)*((C428-tier_floor)*step)*margin_rate)</f>
        <v>10254.9362</v>
      </c>
      <c r="I428" s="37">
        <f t="shared" si="45"/>
        <v>3250</v>
      </c>
      <c r="J428" s="38">
        <f t="shared" si="46"/>
        <v>2022</v>
      </c>
      <c r="K428" s="128">
        <f>(1+target)^($J428-(MIN(tbl_rep_mon[year])))</f>
        <v>1.1499999999999999</v>
      </c>
      <c r="L428" s="35">
        <f t="shared" si="47"/>
        <v>0.42</v>
      </c>
      <c r="M428" s="37">
        <f t="shared" si="48"/>
        <v>13504.9362</v>
      </c>
    </row>
    <row r="429" spans="1:13" x14ac:dyDescent="0.4">
      <c r="A429" t="s">
        <v>23</v>
      </c>
      <c r="B429">
        <v>1</v>
      </c>
      <c r="C429" s="36">
        <v>105623.31</v>
      </c>
      <c r="D429" s="1">
        <v>44835</v>
      </c>
      <c r="E429" s="35">
        <f t="shared" si="42"/>
        <v>0.6</v>
      </c>
      <c r="F429" s="37">
        <f t="shared" si="43"/>
        <v>52811.654999999999</v>
      </c>
      <c r="G429" s="37">
        <f t="shared" si="44"/>
        <v>31686.992999999999</v>
      </c>
      <c r="H429" s="36" cm="1">
        <f t="array" ref="H429">SUMPRODUCT((C429&gt;tier_floor)*((C429-tier_floor)*step)*margin_rate)</f>
        <v>20561.993000000002</v>
      </c>
      <c r="I429" s="37">
        <f t="shared" si="45"/>
        <v>11124.999999999996</v>
      </c>
      <c r="J429" s="38">
        <f t="shared" si="46"/>
        <v>2022</v>
      </c>
      <c r="K429" s="128">
        <f>(1+target)^($J429-(MIN(tbl_rep_mon[year])))</f>
        <v>1.1499999999999999</v>
      </c>
      <c r="L429" s="35">
        <f t="shared" si="47"/>
        <v>0.51</v>
      </c>
      <c r="M429" s="37">
        <f t="shared" si="48"/>
        <v>26933.944049999998</v>
      </c>
    </row>
    <row r="430" spans="1:13" x14ac:dyDescent="0.4">
      <c r="A430" t="s">
        <v>24</v>
      </c>
      <c r="B430">
        <v>3</v>
      </c>
      <c r="C430" s="36">
        <v>44112.39</v>
      </c>
      <c r="D430" s="1">
        <v>44835</v>
      </c>
      <c r="E430" s="35">
        <f t="shared" si="42"/>
        <v>0.33</v>
      </c>
      <c r="F430" s="37">
        <f t="shared" si="43"/>
        <v>22056.195</v>
      </c>
      <c r="G430" s="37">
        <f t="shared" si="44"/>
        <v>7278.5443500000001</v>
      </c>
      <c r="H430" s="36" cm="1">
        <f t="array" ref="H430">SUMPRODUCT((C430&gt;tier_floor)*((C430-tier_floor)*step)*margin_rate)</f>
        <v>6278.5443500000001</v>
      </c>
      <c r="I430" s="37">
        <f t="shared" si="45"/>
        <v>1000</v>
      </c>
      <c r="J430" s="38">
        <f t="shared" si="46"/>
        <v>2022</v>
      </c>
      <c r="K430" s="128">
        <f>(1+target)^($J430-(MIN(tbl_rep_mon[year])))</f>
        <v>1.1499999999999999</v>
      </c>
      <c r="L430" s="35">
        <f t="shared" si="47"/>
        <v>0.33</v>
      </c>
      <c r="M430" s="37">
        <f t="shared" si="48"/>
        <v>7278.5443500000001</v>
      </c>
    </row>
    <row r="431" spans="1:13" x14ac:dyDescent="0.4">
      <c r="A431" t="s">
        <v>25</v>
      </c>
      <c r="B431">
        <v>2</v>
      </c>
      <c r="C431" s="36">
        <v>56528.29</v>
      </c>
      <c r="D431" s="1">
        <v>44835</v>
      </c>
      <c r="E431" s="35">
        <f t="shared" si="42"/>
        <v>0.42</v>
      </c>
      <c r="F431" s="37">
        <f t="shared" si="43"/>
        <v>28264.145</v>
      </c>
      <c r="G431" s="37">
        <f t="shared" si="44"/>
        <v>11870.9409</v>
      </c>
      <c r="H431" s="36" cm="1">
        <f t="array" ref="H431">SUMPRODUCT((C431&gt;tier_floor)*((C431-tier_floor)*step)*margin_rate)</f>
        <v>8620.9408999999996</v>
      </c>
      <c r="I431" s="37">
        <f t="shared" si="45"/>
        <v>3250</v>
      </c>
      <c r="J431" s="38">
        <f t="shared" si="46"/>
        <v>2022</v>
      </c>
      <c r="K431" s="128">
        <f>(1+target)^($J431-(MIN(tbl_rep_mon[year])))</f>
        <v>1.1499999999999999</v>
      </c>
      <c r="L431" s="35">
        <f t="shared" si="47"/>
        <v>0.33</v>
      </c>
      <c r="M431" s="37">
        <f t="shared" si="48"/>
        <v>9327.1678499999998</v>
      </c>
    </row>
    <row r="432" spans="1:13" x14ac:dyDescent="0.4">
      <c r="A432" t="s">
        <v>26</v>
      </c>
      <c r="B432">
        <v>2</v>
      </c>
      <c r="C432" s="36">
        <v>54337.67</v>
      </c>
      <c r="D432" s="1">
        <v>44835</v>
      </c>
      <c r="E432" s="35">
        <f t="shared" si="42"/>
        <v>0.42</v>
      </c>
      <c r="F432" s="37">
        <f t="shared" si="43"/>
        <v>27168.834999999999</v>
      </c>
      <c r="G432" s="37">
        <f t="shared" si="44"/>
        <v>11410.910699999999</v>
      </c>
      <c r="H432" s="36" cm="1">
        <f t="array" ref="H432">SUMPRODUCT((C432&gt;tier_floor)*((C432-tier_floor)*step)*margin_rate)</f>
        <v>8160.9106999999995</v>
      </c>
      <c r="I432" s="37">
        <f t="shared" si="45"/>
        <v>3249.9999999999991</v>
      </c>
      <c r="J432" s="38">
        <f t="shared" si="46"/>
        <v>2022</v>
      </c>
      <c r="K432" s="128">
        <f>(1+target)^($J432-(MIN(tbl_rep_mon[year])))</f>
        <v>1.1499999999999999</v>
      </c>
      <c r="L432" s="35">
        <f t="shared" si="47"/>
        <v>0.33</v>
      </c>
      <c r="M432" s="37">
        <f t="shared" si="48"/>
        <v>8965.7155500000008</v>
      </c>
    </row>
    <row r="433" spans="1:13" x14ac:dyDescent="0.4">
      <c r="A433" t="s">
        <v>28</v>
      </c>
      <c r="B433">
        <v>2</v>
      </c>
      <c r="C433" s="36">
        <v>50025.19</v>
      </c>
      <c r="D433" s="1">
        <v>44835</v>
      </c>
      <c r="E433" s="35">
        <f t="shared" si="42"/>
        <v>0.42</v>
      </c>
      <c r="F433" s="37">
        <f t="shared" si="43"/>
        <v>25012.595000000001</v>
      </c>
      <c r="G433" s="37">
        <f t="shared" si="44"/>
        <v>10505.2899</v>
      </c>
      <c r="H433" s="36" cm="1">
        <f t="array" ref="H433">SUMPRODUCT((C433&gt;tier_floor)*((C433-tier_floor)*step)*margin_rate)</f>
        <v>7255.2899000000007</v>
      </c>
      <c r="I433" s="37">
        <f t="shared" si="45"/>
        <v>3249.9999999999991</v>
      </c>
      <c r="J433" s="38">
        <f t="shared" si="46"/>
        <v>2022</v>
      </c>
      <c r="K433" s="128">
        <f>(1+target)^($J433-(MIN(tbl_rep_mon[year])))</f>
        <v>1.1499999999999999</v>
      </c>
      <c r="L433" s="35">
        <f t="shared" si="47"/>
        <v>0.33</v>
      </c>
      <c r="M433" s="37">
        <f t="shared" si="48"/>
        <v>8254.1563500000011</v>
      </c>
    </row>
    <row r="434" spans="1:13" x14ac:dyDescent="0.4">
      <c r="A434" t="s">
        <v>29</v>
      </c>
      <c r="B434">
        <v>1</v>
      </c>
      <c r="C434" s="36">
        <v>82430.55</v>
      </c>
      <c r="D434" s="1">
        <v>44835</v>
      </c>
      <c r="E434" s="35">
        <f t="shared" si="42"/>
        <v>0.51</v>
      </c>
      <c r="F434" s="37">
        <f t="shared" si="43"/>
        <v>41215.275000000001</v>
      </c>
      <c r="G434" s="37">
        <f t="shared" si="44"/>
        <v>21019.790250000002</v>
      </c>
      <c r="H434" s="36" cm="1">
        <f t="array" ref="H434">SUMPRODUCT((C434&gt;tier_floor)*((C434-tier_floor)*step)*margin_rate)</f>
        <v>14394.79025</v>
      </c>
      <c r="I434" s="37">
        <f t="shared" si="45"/>
        <v>6625.0000000000018</v>
      </c>
      <c r="J434" s="38">
        <f t="shared" si="46"/>
        <v>2022</v>
      </c>
      <c r="K434" s="128">
        <f>(1+target)^($J434-(MIN(tbl_rep_mon[year])))</f>
        <v>1.1499999999999999</v>
      </c>
      <c r="L434" s="35">
        <f t="shared" si="47"/>
        <v>0.42</v>
      </c>
      <c r="M434" s="37">
        <f t="shared" si="48"/>
        <v>17310.415499999999</v>
      </c>
    </row>
    <row r="435" spans="1:13" x14ac:dyDescent="0.4">
      <c r="A435" t="s">
        <v>31</v>
      </c>
      <c r="B435">
        <v>4</v>
      </c>
      <c r="C435" s="36">
        <v>30021.59</v>
      </c>
      <c r="D435" s="1">
        <v>44835</v>
      </c>
      <c r="E435" s="35">
        <f t="shared" si="42"/>
        <v>0.33</v>
      </c>
      <c r="F435" s="37">
        <f t="shared" si="43"/>
        <v>15010.795</v>
      </c>
      <c r="G435" s="37">
        <f t="shared" si="44"/>
        <v>4953.5623500000002</v>
      </c>
      <c r="H435" s="36" cm="1">
        <f t="array" ref="H435">SUMPRODUCT((C435&gt;tier_floor)*((C435-tier_floor)*step)*margin_rate)</f>
        <v>3953.5623500000002</v>
      </c>
      <c r="I435" s="37">
        <f t="shared" si="45"/>
        <v>1000</v>
      </c>
      <c r="J435" s="38">
        <f t="shared" si="46"/>
        <v>2022</v>
      </c>
      <c r="K435" s="128">
        <f>(1+target)^($J435-(MIN(tbl_rep_mon[year])))</f>
        <v>1.1499999999999999</v>
      </c>
      <c r="L435" s="35">
        <f t="shared" si="47"/>
        <v>0.33</v>
      </c>
      <c r="M435" s="37">
        <f t="shared" si="48"/>
        <v>4953.5623500000002</v>
      </c>
    </row>
    <row r="436" spans="1:13" x14ac:dyDescent="0.4">
      <c r="A436" t="s">
        <v>32</v>
      </c>
      <c r="B436">
        <v>4</v>
      </c>
      <c r="C436" s="36">
        <v>62663.38</v>
      </c>
      <c r="D436" s="1">
        <v>44835</v>
      </c>
      <c r="E436" s="35">
        <f t="shared" si="42"/>
        <v>0.42</v>
      </c>
      <c r="F436" s="37">
        <f t="shared" si="43"/>
        <v>31331.69</v>
      </c>
      <c r="G436" s="37">
        <f t="shared" si="44"/>
        <v>13159.309799999999</v>
      </c>
      <c r="H436" s="36" cm="1">
        <f t="array" ref="H436">SUMPRODUCT((C436&gt;tier_floor)*((C436-tier_floor)*step)*margin_rate)</f>
        <v>9909.3097999999991</v>
      </c>
      <c r="I436" s="37">
        <f t="shared" si="45"/>
        <v>3250</v>
      </c>
      <c r="J436" s="38">
        <f t="shared" si="46"/>
        <v>2022</v>
      </c>
      <c r="K436" s="128">
        <f>(1+target)^($J436-(MIN(tbl_rep_mon[year])))</f>
        <v>1.1499999999999999</v>
      </c>
      <c r="L436" s="35">
        <f t="shared" si="47"/>
        <v>0.42</v>
      </c>
      <c r="M436" s="37">
        <f t="shared" si="48"/>
        <v>13159.309799999999</v>
      </c>
    </row>
    <row r="437" spans="1:13" x14ac:dyDescent="0.4">
      <c r="A437" t="s">
        <v>33</v>
      </c>
      <c r="B437">
        <v>3</v>
      </c>
      <c r="C437" s="36">
        <v>40531.51</v>
      </c>
      <c r="D437" s="1">
        <v>44835</v>
      </c>
      <c r="E437" s="35">
        <f t="shared" si="42"/>
        <v>0.33</v>
      </c>
      <c r="F437" s="37">
        <f t="shared" si="43"/>
        <v>20265.755000000001</v>
      </c>
      <c r="G437" s="37">
        <f t="shared" si="44"/>
        <v>6687.6991500000004</v>
      </c>
      <c r="H437" s="36" cm="1">
        <f t="array" ref="H437">SUMPRODUCT((C437&gt;tier_floor)*((C437-tier_floor)*step)*margin_rate)</f>
        <v>5687.6991500000004</v>
      </c>
      <c r="I437" s="37">
        <f t="shared" si="45"/>
        <v>1000</v>
      </c>
      <c r="J437" s="38">
        <f t="shared" si="46"/>
        <v>2022</v>
      </c>
      <c r="K437" s="128">
        <f>(1+target)^($J437-(MIN(tbl_rep_mon[year])))</f>
        <v>1.1499999999999999</v>
      </c>
      <c r="L437" s="35">
        <f t="shared" si="47"/>
        <v>0.33</v>
      </c>
      <c r="M437" s="37">
        <f t="shared" si="48"/>
        <v>6687.6991500000004</v>
      </c>
    </row>
    <row r="438" spans="1:13" x14ac:dyDescent="0.4">
      <c r="A438" t="s">
        <v>34</v>
      </c>
      <c r="B438">
        <v>4</v>
      </c>
      <c r="C438" s="36">
        <v>71275.460000000006</v>
      </c>
      <c r="D438" s="1">
        <v>44835</v>
      </c>
      <c r="E438" s="35">
        <f t="shared" si="42"/>
        <v>0.42</v>
      </c>
      <c r="F438" s="37">
        <f t="shared" si="43"/>
        <v>35637.730000000003</v>
      </c>
      <c r="G438" s="37">
        <f t="shared" si="44"/>
        <v>14967.846600000001</v>
      </c>
      <c r="H438" s="36" cm="1">
        <f t="array" ref="H438">SUMPRODUCT((C438&gt;tier_floor)*((C438-tier_floor)*step)*margin_rate)</f>
        <v>11717.846600000001</v>
      </c>
      <c r="I438" s="37">
        <f t="shared" si="45"/>
        <v>3250</v>
      </c>
      <c r="J438" s="38">
        <f t="shared" si="46"/>
        <v>2022</v>
      </c>
      <c r="K438" s="128">
        <f>(1+target)^($J438-(MIN(tbl_rep_mon[year])))</f>
        <v>1.1499999999999999</v>
      </c>
      <c r="L438" s="35">
        <f t="shared" si="47"/>
        <v>0.42</v>
      </c>
      <c r="M438" s="37">
        <f t="shared" si="48"/>
        <v>14967.846600000001</v>
      </c>
    </row>
    <row r="439" spans="1:13" x14ac:dyDescent="0.4">
      <c r="A439" t="s">
        <v>35</v>
      </c>
      <c r="B439">
        <v>4</v>
      </c>
      <c r="C439" s="36">
        <v>48509.279999999999</v>
      </c>
      <c r="D439" s="1">
        <v>44835</v>
      </c>
      <c r="E439" s="35">
        <f t="shared" si="42"/>
        <v>0.33</v>
      </c>
      <c r="F439" s="37">
        <f t="shared" si="43"/>
        <v>24254.639999999999</v>
      </c>
      <c r="G439" s="37">
        <f t="shared" si="44"/>
        <v>8004.0312000000004</v>
      </c>
      <c r="H439" s="36" cm="1">
        <f t="array" ref="H439">SUMPRODUCT((C439&gt;tier_floor)*((C439-tier_floor)*step)*margin_rate)</f>
        <v>7004.0312000000004</v>
      </c>
      <c r="I439" s="37">
        <f t="shared" si="45"/>
        <v>1000</v>
      </c>
      <c r="J439" s="38">
        <f t="shared" si="46"/>
        <v>2022</v>
      </c>
      <c r="K439" s="128">
        <f>(1+target)^($J439-(MIN(tbl_rep_mon[year])))</f>
        <v>1.1499999999999999</v>
      </c>
      <c r="L439" s="35">
        <f t="shared" si="47"/>
        <v>0.33</v>
      </c>
      <c r="M439" s="37">
        <f t="shared" si="48"/>
        <v>8004.0312000000004</v>
      </c>
    </row>
    <row r="440" spans="1:13" x14ac:dyDescent="0.4">
      <c r="A440" t="s">
        <v>36</v>
      </c>
      <c r="B440">
        <v>2</v>
      </c>
      <c r="C440" s="36">
        <v>79362.17</v>
      </c>
      <c r="D440" s="1">
        <v>44835</v>
      </c>
      <c r="E440" s="35">
        <f t="shared" si="42"/>
        <v>0.51</v>
      </c>
      <c r="F440" s="37">
        <f t="shared" si="43"/>
        <v>39681.084999999999</v>
      </c>
      <c r="G440" s="37">
        <f t="shared" si="44"/>
        <v>20237.353350000001</v>
      </c>
      <c r="H440" s="36" cm="1">
        <f t="array" ref="H440">SUMPRODUCT((C440&gt;tier_floor)*((C440-tier_floor)*step)*margin_rate)</f>
        <v>13612.353350000001</v>
      </c>
      <c r="I440" s="37">
        <f t="shared" si="45"/>
        <v>6625</v>
      </c>
      <c r="J440" s="38">
        <f t="shared" si="46"/>
        <v>2022</v>
      </c>
      <c r="K440" s="128">
        <f>(1+target)^($J440-(MIN(tbl_rep_mon[year])))</f>
        <v>1.1499999999999999</v>
      </c>
      <c r="L440" s="35">
        <f t="shared" si="47"/>
        <v>0.42</v>
      </c>
      <c r="M440" s="37">
        <f t="shared" si="48"/>
        <v>16666.055700000001</v>
      </c>
    </row>
    <row r="441" spans="1:13" x14ac:dyDescent="0.4">
      <c r="A441" t="s">
        <v>37</v>
      </c>
      <c r="B441">
        <v>4</v>
      </c>
      <c r="C441" s="36">
        <v>54024.21</v>
      </c>
      <c r="D441" s="1">
        <v>44835</v>
      </c>
      <c r="E441" s="35">
        <f t="shared" si="42"/>
        <v>0.42</v>
      </c>
      <c r="F441" s="37">
        <f t="shared" si="43"/>
        <v>27012.105</v>
      </c>
      <c r="G441" s="37">
        <f t="shared" si="44"/>
        <v>11345.0841</v>
      </c>
      <c r="H441" s="36" cm="1">
        <f t="array" ref="H441">SUMPRODUCT((C441&gt;tier_floor)*((C441-tier_floor)*step)*margin_rate)</f>
        <v>8095.0841</v>
      </c>
      <c r="I441" s="37">
        <f t="shared" si="45"/>
        <v>3250</v>
      </c>
      <c r="J441" s="38">
        <f t="shared" si="46"/>
        <v>2022</v>
      </c>
      <c r="K441" s="128">
        <f>(1+target)^($J441-(MIN(tbl_rep_mon[year])))</f>
        <v>1.1499999999999999</v>
      </c>
      <c r="L441" s="35">
        <f t="shared" si="47"/>
        <v>0.33</v>
      </c>
      <c r="M441" s="37">
        <f t="shared" si="48"/>
        <v>8913.9946500000005</v>
      </c>
    </row>
    <row r="442" spans="1:13" x14ac:dyDescent="0.4">
      <c r="A442" t="s">
        <v>6</v>
      </c>
      <c r="B442">
        <v>2</v>
      </c>
      <c r="C442" s="36">
        <v>53523.39</v>
      </c>
      <c r="D442" s="1">
        <v>44866</v>
      </c>
      <c r="E442" s="35">
        <f t="shared" si="42"/>
        <v>0.42</v>
      </c>
      <c r="F442" s="37">
        <f t="shared" si="43"/>
        <v>26761.695</v>
      </c>
      <c r="G442" s="37">
        <f t="shared" si="44"/>
        <v>11239.911899999999</v>
      </c>
      <c r="H442" s="36" cm="1">
        <f t="array" ref="H442">SUMPRODUCT((C442&gt;tier_floor)*((C442-tier_floor)*step)*margin_rate)</f>
        <v>7989.911900000001</v>
      </c>
      <c r="I442" s="37">
        <f t="shared" si="45"/>
        <v>3249.9999999999982</v>
      </c>
      <c r="J442" s="38">
        <f t="shared" si="46"/>
        <v>2022</v>
      </c>
      <c r="K442" s="128">
        <f>(1+target)^($J442-(MIN(tbl_rep_mon[year])))</f>
        <v>1.1499999999999999</v>
      </c>
      <c r="L442" s="35">
        <f t="shared" si="47"/>
        <v>0.33</v>
      </c>
      <c r="M442" s="37">
        <f t="shared" si="48"/>
        <v>8831.3593500000006</v>
      </c>
    </row>
    <row r="443" spans="1:13" x14ac:dyDescent="0.4">
      <c r="A443" t="s">
        <v>7</v>
      </c>
      <c r="B443">
        <v>4</v>
      </c>
      <c r="C443" s="36">
        <v>43623.25</v>
      </c>
      <c r="D443" s="1">
        <v>44866</v>
      </c>
      <c r="E443" s="35">
        <f t="shared" si="42"/>
        <v>0.33</v>
      </c>
      <c r="F443" s="37">
        <f t="shared" si="43"/>
        <v>21811.625</v>
      </c>
      <c r="G443" s="37">
        <f t="shared" si="44"/>
        <v>7197.8362500000003</v>
      </c>
      <c r="H443" s="36" cm="1">
        <f t="array" ref="H443">SUMPRODUCT((C443&gt;tier_floor)*((C443-tier_floor)*step)*margin_rate)</f>
        <v>6197.8362500000003</v>
      </c>
      <c r="I443" s="37">
        <f t="shared" si="45"/>
        <v>1000</v>
      </c>
      <c r="J443" s="38">
        <f t="shared" si="46"/>
        <v>2022</v>
      </c>
      <c r="K443" s="128">
        <f>(1+target)^($J443-(MIN(tbl_rep_mon[year])))</f>
        <v>1.1499999999999999</v>
      </c>
      <c r="L443" s="35">
        <f t="shared" si="47"/>
        <v>0.33</v>
      </c>
      <c r="M443" s="37">
        <f t="shared" si="48"/>
        <v>7197.8362500000003</v>
      </c>
    </row>
    <row r="444" spans="1:13" x14ac:dyDescent="0.4">
      <c r="A444" t="s">
        <v>8</v>
      </c>
      <c r="B444">
        <v>4</v>
      </c>
      <c r="C444" s="36">
        <v>49649.11</v>
      </c>
      <c r="D444" s="1">
        <v>44866</v>
      </c>
      <c r="E444" s="35">
        <f t="shared" si="42"/>
        <v>0.33</v>
      </c>
      <c r="F444" s="37">
        <f t="shared" si="43"/>
        <v>24824.555</v>
      </c>
      <c r="G444" s="37">
        <f t="shared" si="44"/>
        <v>8192.1031500000008</v>
      </c>
      <c r="H444" s="36" cm="1">
        <f t="array" ref="H444">SUMPRODUCT((C444&gt;tier_floor)*((C444-tier_floor)*step)*margin_rate)</f>
        <v>7192.1031499999999</v>
      </c>
      <c r="I444" s="37">
        <f t="shared" si="45"/>
        <v>1000.0000000000009</v>
      </c>
      <c r="J444" s="38">
        <f t="shared" si="46"/>
        <v>2022</v>
      </c>
      <c r="K444" s="128">
        <f>(1+target)^($J444-(MIN(tbl_rep_mon[year])))</f>
        <v>1.1499999999999999</v>
      </c>
      <c r="L444" s="35">
        <f t="shared" si="47"/>
        <v>0.33</v>
      </c>
      <c r="M444" s="37">
        <f t="shared" si="48"/>
        <v>8192.1031500000008</v>
      </c>
    </row>
    <row r="445" spans="1:13" x14ac:dyDescent="0.4">
      <c r="A445" t="s">
        <v>15</v>
      </c>
      <c r="B445">
        <v>3</v>
      </c>
      <c r="C445" s="36">
        <v>66092.740000000005</v>
      </c>
      <c r="D445" s="1">
        <v>44866</v>
      </c>
      <c r="E445" s="35">
        <f t="shared" si="42"/>
        <v>0.42</v>
      </c>
      <c r="F445" s="37">
        <f t="shared" si="43"/>
        <v>33046.370000000003</v>
      </c>
      <c r="G445" s="37">
        <f t="shared" si="44"/>
        <v>13879.475400000001</v>
      </c>
      <c r="H445" s="36" cm="1">
        <f t="array" ref="H445">SUMPRODUCT((C445&gt;tier_floor)*((C445-tier_floor)*step)*margin_rate)</f>
        <v>10629.475400000001</v>
      </c>
      <c r="I445" s="37">
        <f t="shared" si="45"/>
        <v>3250</v>
      </c>
      <c r="J445" s="38">
        <f t="shared" si="46"/>
        <v>2022</v>
      </c>
      <c r="K445" s="128">
        <f>(1+target)^($J445-(MIN(tbl_rep_mon[year])))</f>
        <v>1.1499999999999999</v>
      </c>
      <c r="L445" s="35">
        <f t="shared" si="47"/>
        <v>0.42</v>
      </c>
      <c r="M445" s="37">
        <f t="shared" si="48"/>
        <v>13879.475400000001</v>
      </c>
    </row>
    <row r="446" spans="1:13" x14ac:dyDescent="0.4">
      <c r="A446" t="s">
        <v>16</v>
      </c>
      <c r="B446">
        <v>3</v>
      </c>
      <c r="C446" s="36">
        <v>58176.43</v>
      </c>
      <c r="D446" s="1">
        <v>44866</v>
      </c>
      <c r="E446" s="35">
        <f t="shared" si="42"/>
        <v>0.42</v>
      </c>
      <c r="F446" s="37">
        <f t="shared" si="43"/>
        <v>29088.215</v>
      </c>
      <c r="G446" s="37">
        <f t="shared" si="44"/>
        <v>12217.050299999999</v>
      </c>
      <c r="H446" s="36" cm="1">
        <f t="array" ref="H446">SUMPRODUCT((C446&gt;tier_floor)*((C446-tier_floor)*step)*margin_rate)</f>
        <v>8967.0503000000008</v>
      </c>
      <c r="I446" s="37">
        <f t="shared" si="45"/>
        <v>3249.9999999999982</v>
      </c>
      <c r="J446" s="38">
        <f t="shared" si="46"/>
        <v>2022</v>
      </c>
      <c r="K446" s="128">
        <f>(1+target)^($J446-(MIN(tbl_rep_mon[year])))</f>
        <v>1.1499999999999999</v>
      </c>
      <c r="L446" s="35">
        <f t="shared" si="47"/>
        <v>0.42</v>
      </c>
      <c r="M446" s="37">
        <f t="shared" si="48"/>
        <v>12217.050299999999</v>
      </c>
    </row>
    <row r="447" spans="1:13" x14ac:dyDescent="0.4">
      <c r="A447" t="s">
        <v>18</v>
      </c>
      <c r="B447">
        <v>3</v>
      </c>
      <c r="C447" s="36">
        <v>51527.44</v>
      </c>
      <c r="D447" s="1">
        <v>44866</v>
      </c>
      <c r="E447" s="35">
        <f t="shared" si="42"/>
        <v>0.42</v>
      </c>
      <c r="F447" s="37">
        <f t="shared" si="43"/>
        <v>25763.72</v>
      </c>
      <c r="G447" s="37">
        <f t="shared" si="44"/>
        <v>10820.7624</v>
      </c>
      <c r="H447" s="36" cm="1">
        <f t="array" ref="H447">SUMPRODUCT((C447&gt;tier_floor)*((C447-tier_floor)*step)*margin_rate)</f>
        <v>7570.7624000000005</v>
      </c>
      <c r="I447" s="37">
        <f t="shared" si="45"/>
        <v>3249.9999999999991</v>
      </c>
      <c r="J447" s="38">
        <f t="shared" si="46"/>
        <v>2022</v>
      </c>
      <c r="K447" s="128">
        <f>(1+target)^($J447-(MIN(tbl_rep_mon[year])))</f>
        <v>1.1499999999999999</v>
      </c>
      <c r="L447" s="35">
        <f t="shared" si="47"/>
        <v>0.33</v>
      </c>
      <c r="M447" s="37">
        <f t="shared" si="48"/>
        <v>8502.0276000000013</v>
      </c>
    </row>
    <row r="448" spans="1:13" x14ac:dyDescent="0.4">
      <c r="A448" t="s">
        <v>19</v>
      </c>
      <c r="B448">
        <v>4</v>
      </c>
      <c r="C448" s="36">
        <v>55809.53</v>
      </c>
      <c r="D448" s="1">
        <v>44866</v>
      </c>
      <c r="E448" s="35">
        <f t="shared" si="42"/>
        <v>0.42</v>
      </c>
      <c r="F448" s="37">
        <f t="shared" si="43"/>
        <v>27904.764999999999</v>
      </c>
      <c r="G448" s="37">
        <f t="shared" si="44"/>
        <v>11720.0013</v>
      </c>
      <c r="H448" s="36" cm="1">
        <f t="array" ref="H448">SUMPRODUCT((C448&gt;tier_floor)*((C448-tier_floor)*step)*margin_rate)</f>
        <v>8470.0012999999999</v>
      </c>
      <c r="I448" s="37">
        <f t="shared" si="45"/>
        <v>3250</v>
      </c>
      <c r="J448" s="38">
        <f t="shared" si="46"/>
        <v>2022</v>
      </c>
      <c r="K448" s="128">
        <f>(1+target)^($J448-(MIN(tbl_rep_mon[year])))</f>
        <v>1.1499999999999999</v>
      </c>
      <c r="L448" s="35">
        <f t="shared" si="47"/>
        <v>0.33</v>
      </c>
      <c r="M448" s="37">
        <f t="shared" si="48"/>
        <v>9208.5724499999997</v>
      </c>
    </row>
    <row r="449" spans="1:13" x14ac:dyDescent="0.4">
      <c r="A449" t="s">
        <v>23</v>
      </c>
      <c r="B449">
        <v>1</v>
      </c>
      <c r="C449" s="36">
        <v>100380.87</v>
      </c>
      <c r="D449" s="1">
        <v>44866</v>
      </c>
      <c r="E449" s="35">
        <f t="shared" si="42"/>
        <v>0.6</v>
      </c>
      <c r="F449" s="37">
        <f t="shared" si="43"/>
        <v>50190.434999999998</v>
      </c>
      <c r="G449" s="37">
        <f t="shared" si="44"/>
        <v>30114.260999999999</v>
      </c>
      <c r="H449" s="36" cm="1">
        <f t="array" ref="H449">SUMPRODUCT((C449&gt;tier_floor)*((C449-tier_floor)*step)*margin_rate)</f>
        <v>18989.260999999999</v>
      </c>
      <c r="I449" s="37">
        <f t="shared" si="45"/>
        <v>11125</v>
      </c>
      <c r="J449" s="38">
        <f t="shared" si="46"/>
        <v>2022</v>
      </c>
      <c r="K449" s="128">
        <f>(1+target)^($J449-(MIN(tbl_rep_mon[year])))</f>
        <v>1.1499999999999999</v>
      </c>
      <c r="L449" s="35">
        <f t="shared" si="47"/>
        <v>0.51</v>
      </c>
      <c r="M449" s="37">
        <f t="shared" si="48"/>
        <v>25597.12185</v>
      </c>
    </row>
    <row r="450" spans="1:13" x14ac:dyDescent="0.4">
      <c r="A450" t="s">
        <v>24</v>
      </c>
      <c r="B450">
        <v>3</v>
      </c>
      <c r="C450" s="36">
        <v>47425.36</v>
      </c>
      <c r="D450" s="1">
        <v>44866</v>
      </c>
      <c r="E450" s="35">
        <f t="shared" ref="E450:E513" si="49">_xlfn.XLOOKUP(C450,tier_floor,tier_rate,,-1)</f>
        <v>0.33</v>
      </c>
      <c r="F450" s="37">
        <f t="shared" ref="F450:F513" si="50">C450*margin_rate</f>
        <v>23712.68</v>
      </c>
      <c r="G450" s="37">
        <f t="shared" ref="G450:G513" si="51">F450*E450</f>
        <v>7825.1844000000001</v>
      </c>
      <c r="H450" s="36" cm="1">
        <f t="array" ref="H450">SUMPRODUCT((C450&gt;tier_floor)*((C450-tier_floor)*step)*margin_rate)</f>
        <v>6825.1844000000001</v>
      </c>
      <c r="I450" s="37">
        <f t="shared" ref="I450:I513" si="52">G450-H450</f>
        <v>1000</v>
      </c>
      <c r="J450" s="38">
        <f t="shared" ref="J450:J513" si="53">YEAR(D450)</f>
        <v>2022</v>
      </c>
      <c r="K450" s="128">
        <f>(1+target)^($J450-(MIN(tbl_rep_mon[year])))</f>
        <v>1.1499999999999999</v>
      </c>
      <c r="L450" s="35">
        <f t="shared" ref="L450:L513" si="54">_xlfn.XLOOKUP(($C450/$K450),tier_floor,tier_rate,,-1)</f>
        <v>0.33</v>
      </c>
      <c r="M450" s="37">
        <f t="shared" ref="M450:M513" si="55">$F450*$L450</f>
        <v>7825.1844000000001</v>
      </c>
    </row>
    <row r="451" spans="1:13" x14ac:dyDescent="0.4">
      <c r="A451" t="s">
        <v>25</v>
      </c>
      <c r="B451">
        <v>2</v>
      </c>
      <c r="C451" s="36">
        <v>63918.14</v>
      </c>
      <c r="D451" s="1">
        <v>44866</v>
      </c>
      <c r="E451" s="35">
        <f t="shared" si="49"/>
        <v>0.42</v>
      </c>
      <c r="F451" s="37">
        <f t="shared" si="50"/>
        <v>31959.07</v>
      </c>
      <c r="G451" s="37">
        <f t="shared" si="51"/>
        <v>13422.8094</v>
      </c>
      <c r="H451" s="36" cm="1">
        <f t="array" ref="H451">SUMPRODUCT((C451&gt;tier_floor)*((C451-tier_floor)*step)*margin_rate)</f>
        <v>10172.8094</v>
      </c>
      <c r="I451" s="37">
        <f t="shared" si="52"/>
        <v>3250</v>
      </c>
      <c r="J451" s="38">
        <f t="shared" si="53"/>
        <v>2022</v>
      </c>
      <c r="K451" s="128">
        <f>(1+target)^($J451-(MIN(tbl_rep_mon[year])))</f>
        <v>1.1499999999999999</v>
      </c>
      <c r="L451" s="35">
        <f t="shared" si="54"/>
        <v>0.42</v>
      </c>
      <c r="M451" s="37">
        <f t="shared" si="55"/>
        <v>13422.8094</v>
      </c>
    </row>
    <row r="452" spans="1:13" x14ac:dyDescent="0.4">
      <c r="A452" t="s">
        <v>26</v>
      </c>
      <c r="B452">
        <v>2</v>
      </c>
      <c r="C452" s="36">
        <v>70122.84</v>
      </c>
      <c r="D452" s="1">
        <v>44866</v>
      </c>
      <c r="E452" s="35">
        <f t="shared" si="49"/>
        <v>0.42</v>
      </c>
      <c r="F452" s="37">
        <f t="shared" si="50"/>
        <v>35061.42</v>
      </c>
      <c r="G452" s="37">
        <f t="shared" si="51"/>
        <v>14725.796399999999</v>
      </c>
      <c r="H452" s="36" cm="1">
        <f t="array" ref="H452">SUMPRODUCT((C452&gt;tier_floor)*((C452-tier_floor)*step)*margin_rate)</f>
        <v>11475.796399999999</v>
      </c>
      <c r="I452" s="37">
        <f t="shared" si="52"/>
        <v>3250</v>
      </c>
      <c r="J452" s="38">
        <f t="shared" si="53"/>
        <v>2022</v>
      </c>
      <c r="K452" s="128">
        <f>(1+target)^($J452-(MIN(tbl_rep_mon[year])))</f>
        <v>1.1499999999999999</v>
      </c>
      <c r="L452" s="35">
        <f t="shared" si="54"/>
        <v>0.42</v>
      </c>
      <c r="M452" s="37">
        <f t="shared" si="55"/>
        <v>14725.796399999999</v>
      </c>
    </row>
    <row r="453" spans="1:13" x14ac:dyDescent="0.4">
      <c r="A453" t="s">
        <v>28</v>
      </c>
      <c r="B453">
        <v>2</v>
      </c>
      <c r="C453" s="36">
        <v>39702.46</v>
      </c>
      <c r="D453" s="1">
        <v>44866</v>
      </c>
      <c r="E453" s="35">
        <f t="shared" si="49"/>
        <v>0.33</v>
      </c>
      <c r="F453" s="37">
        <f t="shared" si="50"/>
        <v>19851.23</v>
      </c>
      <c r="G453" s="37">
        <f t="shared" si="51"/>
        <v>6550.9058999999997</v>
      </c>
      <c r="H453" s="36" cm="1">
        <f t="array" ref="H453">SUMPRODUCT((C453&gt;tier_floor)*((C453-tier_floor)*step)*margin_rate)</f>
        <v>5550.9058999999997</v>
      </c>
      <c r="I453" s="37">
        <f t="shared" si="52"/>
        <v>1000</v>
      </c>
      <c r="J453" s="38">
        <f t="shared" si="53"/>
        <v>2022</v>
      </c>
      <c r="K453" s="128">
        <f>(1+target)^($J453-(MIN(tbl_rep_mon[year])))</f>
        <v>1.1499999999999999</v>
      </c>
      <c r="L453" s="35">
        <f t="shared" si="54"/>
        <v>0.33</v>
      </c>
      <c r="M453" s="37">
        <f t="shared" si="55"/>
        <v>6550.9058999999997</v>
      </c>
    </row>
    <row r="454" spans="1:13" x14ac:dyDescent="0.4">
      <c r="A454" t="s">
        <v>29</v>
      </c>
      <c r="B454">
        <v>1</v>
      </c>
      <c r="C454" s="36">
        <v>75638.63</v>
      </c>
      <c r="D454" s="1">
        <v>44866</v>
      </c>
      <c r="E454" s="35">
        <f t="shared" si="49"/>
        <v>0.51</v>
      </c>
      <c r="F454" s="37">
        <f t="shared" si="50"/>
        <v>37819.315000000002</v>
      </c>
      <c r="G454" s="37">
        <f t="shared" si="51"/>
        <v>19287.85065</v>
      </c>
      <c r="H454" s="36" cm="1">
        <f t="array" ref="H454">SUMPRODUCT((C454&gt;tier_floor)*((C454-tier_floor)*step)*margin_rate)</f>
        <v>12662.85065</v>
      </c>
      <c r="I454" s="37">
        <f t="shared" si="52"/>
        <v>6625</v>
      </c>
      <c r="J454" s="38">
        <f t="shared" si="53"/>
        <v>2022</v>
      </c>
      <c r="K454" s="128">
        <f>(1+target)^($J454-(MIN(tbl_rep_mon[year])))</f>
        <v>1.1499999999999999</v>
      </c>
      <c r="L454" s="35">
        <f t="shared" si="54"/>
        <v>0.42</v>
      </c>
      <c r="M454" s="37">
        <f t="shared" si="55"/>
        <v>15884.112300000001</v>
      </c>
    </row>
    <row r="455" spans="1:13" x14ac:dyDescent="0.4">
      <c r="A455" t="s">
        <v>31</v>
      </c>
      <c r="B455">
        <v>4</v>
      </c>
      <c r="C455" s="36">
        <v>37356.769999999997</v>
      </c>
      <c r="D455" s="1">
        <v>44866</v>
      </c>
      <c r="E455" s="35">
        <f t="shared" si="49"/>
        <v>0.33</v>
      </c>
      <c r="F455" s="37">
        <f t="shared" si="50"/>
        <v>18678.384999999998</v>
      </c>
      <c r="G455" s="37">
        <f t="shared" si="51"/>
        <v>6163.8670499999998</v>
      </c>
      <c r="H455" s="36" cm="1">
        <f t="array" ref="H455">SUMPRODUCT((C455&gt;tier_floor)*((C455-tier_floor)*step)*margin_rate)</f>
        <v>5163.8670499999998</v>
      </c>
      <c r="I455" s="37">
        <f t="shared" si="52"/>
        <v>1000</v>
      </c>
      <c r="J455" s="38">
        <f t="shared" si="53"/>
        <v>2022</v>
      </c>
      <c r="K455" s="128">
        <f>(1+target)^($J455-(MIN(tbl_rep_mon[year])))</f>
        <v>1.1499999999999999</v>
      </c>
      <c r="L455" s="35">
        <f t="shared" si="54"/>
        <v>0.33</v>
      </c>
      <c r="M455" s="37">
        <f t="shared" si="55"/>
        <v>6163.8670499999998</v>
      </c>
    </row>
    <row r="456" spans="1:13" x14ac:dyDescent="0.4">
      <c r="A456" t="s">
        <v>32</v>
      </c>
      <c r="B456">
        <v>4</v>
      </c>
      <c r="C456" s="36">
        <v>59929.23</v>
      </c>
      <c r="D456" s="1">
        <v>44866</v>
      </c>
      <c r="E456" s="35">
        <f t="shared" si="49"/>
        <v>0.42</v>
      </c>
      <c r="F456" s="37">
        <f t="shared" si="50"/>
        <v>29964.615000000002</v>
      </c>
      <c r="G456" s="37">
        <f t="shared" si="51"/>
        <v>12585.138300000001</v>
      </c>
      <c r="H456" s="36" cm="1">
        <f t="array" ref="H456">SUMPRODUCT((C456&gt;tier_floor)*((C456-tier_floor)*step)*margin_rate)</f>
        <v>9335.1383000000023</v>
      </c>
      <c r="I456" s="37">
        <f t="shared" si="52"/>
        <v>3249.9999999999982</v>
      </c>
      <c r="J456" s="38">
        <f t="shared" si="53"/>
        <v>2022</v>
      </c>
      <c r="K456" s="128">
        <f>(1+target)^($J456-(MIN(tbl_rep_mon[year])))</f>
        <v>1.1499999999999999</v>
      </c>
      <c r="L456" s="35">
        <f t="shared" si="54"/>
        <v>0.42</v>
      </c>
      <c r="M456" s="37">
        <f t="shared" si="55"/>
        <v>12585.138300000001</v>
      </c>
    </row>
    <row r="457" spans="1:13" x14ac:dyDescent="0.4">
      <c r="A457" t="s">
        <v>33</v>
      </c>
      <c r="B457">
        <v>3</v>
      </c>
      <c r="C457" s="36">
        <v>65362.79</v>
      </c>
      <c r="D457" s="1">
        <v>44866</v>
      </c>
      <c r="E457" s="35">
        <f t="shared" si="49"/>
        <v>0.42</v>
      </c>
      <c r="F457" s="37">
        <f t="shared" si="50"/>
        <v>32681.395</v>
      </c>
      <c r="G457" s="37">
        <f t="shared" si="51"/>
        <v>13726.1859</v>
      </c>
      <c r="H457" s="36" cm="1">
        <f t="array" ref="H457">SUMPRODUCT((C457&gt;tier_floor)*((C457-tier_floor)*step)*margin_rate)</f>
        <v>10476.1859</v>
      </c>
      <c r="I457" s="37">
        <f t="shared" si="52"/>
        <v>3250</v>
      </c>
      <c r="J457" s="38">
        <f t="shared" si="53"/>
        <v>2022</v>
      </c>
      <c r="K457" s="128">
        <f>(1+target)^($J457-(MIN(tbl_rep_mon[year])))</f>
        <v>1.1499999999999999</v>
      </c>
      <c r="L457" s="35">
        <f t="shared" si="54"/>
        <v>0.42</v>
      </c>
      <c r="M457" s="37">
        <f t="shared" si="55"/>
        <v>13726.1859</v>
      </c>
    </row>
    <row r="458" spans="1:13" x14ac:dyDescent="0.4">
      <c r="A458" t="s">
        <v>34</v>
      </c>
      <c r="B458">
        <v>4</v>
      </c>
      <c r="C458" s="36">
        <v>54998.1</v>
      </c>
      <c r="D458" s="1">
        <v>44866</v>
      </c>
      <c r="E458" s="35">
        <f t="shared" si="49"/>
        <v>0.42</v>
      </c>
      <c r="F458" s="37">
        <f t="shared" si="50"/>
        <v>27499.05</v>
      </c>
      <c r="G458" s="37">
        <f t="shared" si="51"/>
        <v>11549.600999999999</v>
      </c>
      <c r="H458" s="36" cm="1">
        <f t="array" ref="H458">SUMPRODUCT((C458&gt;tier_floor)*((C458-tier_floor)*step)*margin_rate)</f>
        <v>8299.6009999999987</v>
      </c>
      <c r="I458" s="37">
        <f t="shared" si="52"/>
        <v>3250</v>
      </c>
      <c r="J458" s="38">
        <f t="shared" si="53"/>
        <v>2022</v>
      </c>
      <c r="K458" s="128">
        <f>(1+target)^($J458-(MIN(tbl_rep_mon[year])))</f>
        <v>1.1499999999999999</v>
      </c>
      <c r="L458" s="35">
        <f t="shared" si="54"/>
        <v>0.33</v>
      </c>
      <c r="M458" s="37">
        <f t="shared" si="55"/>
        <v>9074.6864999999998</v>
      </c>
    </row>
    <row r="459" spans="1:13" x14ac:dyDescent="0.4">
      <c r="A459" t="s">
        <v>35</v>
      </c>
      <c r="B459">
        <v>4</v>
      </c>
      <c r="C459" s="36">
        <v>48568.53</v>
      </c>
      <c r="D459" s="1">
        <v>44866</v>
      </c>
      <c r="E459" s="35">
        <f t="shared" si="49"/>
        <v>0.33</v>
      </c>
      <c r="F459" s="37">
        <f t="shared" si="50"/>
        <v>24284.264999999999</v>
      </c>
      <c r="G459" s="37">
        <f t="shared" si="51"/>
        <v>8013.8074500000002</v>
      </c>
      <c r="H459" s="36" cm="1">
        <f t="array" ref="H459">SUMPRODUCT((C459&gt;tier_floor)*((C459-tier_floor)*step)*margin_rate)</f>
        <v>7013.8074500000002</v>
      </c>
      <c r="I459" s="37">
        <f t="shared" si="52"/>
        <v>1000</v>
      </c>
      <c r="J459" s="38">
        <f t="shared" si="53"/>
        <v>2022</v>
      </c>
      <c r="K459" s="128">
        <f>(1+target)^($J459-(MIN(tbl_rep_mon[year])))</f>
        <v>1.1499999999999999</v>
      </c>
      <c r="L459" s="35">
        <f t="shared" si="54"/>
        <v>0.33</v>
      </c>
      <c r="M459" s="37">
        <f t="shared" si="55"/>
        <v>8013.8074500000002</v>
      </c>
    </row>
    <row r="460" spans="1:13" x14ac:dyDescent="0.4">
      <c r="A460" t="s">
        <v>36</v>
      </c>
      <c r="B460">
        <v>2</v>
      </c>
      <c r="C460" s="36">
        <v>64232.74</v>
      </c>
      <c r="D460" s="1">
        <v>44866</v>
      </c>
      <c r="E460" s="35">
        <f t="shared" si="49"/>
        <v>0.42</v>
      </c>
      <c r="F460" s="37">
        <f t="shared" si="50"/>
        <v>32116.37</v>
      </c>
      <c r="G460" s="37">
        <f t="shared" si="51"/>
        <v>13488.875399999999</v>
      </c>
      <c r="H460" s="36" cm="1">
        <f t="array" ref="H460">SUMPRODUCT((C460&gt;tier_floor)*((C460-tier_floor)*step)*margin_rate)</f>
        <v>10238.875399999999</v>
      </c>
      <c r="I460" s="37">
        <f t="shared" si="52"/>
        <v>3250</v>
      </c>
      <c r="J460" s="38">
        <f t="shared" si="53"/>
        <v>2022</v>
      </c>
      <c r="K460" s="128">
        <f>(1+target)^($J460-(MIN(tbl_rep_mon[year])))</f>
        <v>1.1499999999999999</v>
      </c>
      <c r="L460" s="35">
        <f t="shared" si="54"/>
        <v>0.42</v>
      </c>
      <c r="M460" s="37">
        <f t="shared" si="55"/>
        <v>13488.875399999999</v>
      </c>
    </row>
    <row r="461" spans="1:13" x14ac:dyDescent="0.4">
      <c r="A461" t="s">
        <v>37</v>
      </c>
      <c r="B461">
        <v>4</v>
      </c>
      <c r="C461" s="36">
        <v>77591.320000000007</v>
      </c>
      <c r="D461" s="1">
        <v>44866</v>
      </c>
      <c r="E461" s="35">
        <f t="shared" si="49"/>
        <v>0.51</v>
      </c>
      <c r="F461" s="37">
        <f t="shared" si="50"/>
        <v>38795.660000000003</v>
      </c>
      <c r="G461" s="37">
        <f t="shared" si="51"/>
        <v>19785.786600000003</v>
      </c>
      <c r="H461" s="36" cm="1">
        <f t="array" ref="H461">SUMPRODUCT((C461&gt;tier_floor)*((C461-tier_floor)*step)*margin_rate)</f>
        <v>13160.786600000001</v>
      </c>
      <c r="I461" s="37">
        <f t="shared" si="52"/>
        <v>6625.0000000000018</v>
      </c>
      <c r="J461" s="38">
        <f t="shared" si="53"/>
        <v>2022</v>
      </c>
      <c r="K461" s="128">
        <f>(1+target)^($J461-(MIN(tbl_rep_mon[year])))</f>
        <v>1.1499999999999999</v>
      </c>
      <c r="L461" s="35">
        <f t="shared" si="54"/>
        <v>0.42</v>
      </c>
      <c r="M461" s="37">
        <f t="shared" si="55"/>
        <v>16294.1772</v>
      </c>
    </row>
    <row r="462" spans="1:13" x14ac:dyDescent="0.4">
      <c r="A462" t="s">
        <v>6</v>
      </c>
      <c r="B462">
        <v>2</v>
      </c>
      <c r="C462" s="36">
        <v>46854.29</v>
      </c>
      <c r="D462" s="1">
        <v>44896</v>
      </c>
      <c r="E462" s="35">
        <f t="shared" si="49"/>
        <v>0.33</v>
      </c>
      <c r="F462" s="37">
        <f t="shared" si="50"/>
        <v>23427.145</v>
      </c>
      <c r="G462" s="37">
        <f t="shared" si="51"/>
        <v>7730.9578500000007</v>
      </c>
      <c r="H462" s="36" cm="1">
        <f t="array" ref="H462">SUMPRODUCT((C462&gt;tier_floor)*((C462-tier_floor)*step)*margin_rate)</f>
        <v>6730.9578500000007</v>
      </c>
      <c r="I462" s="37">
        <f t="shared" si="52"/>
        <v>1000</v>
      </c>
      <c r="J462" s="38">
        <f t="shared" si="53"/>
        <v>2022</v>
      </c>
      <c r="K462" s="128">
        <f>(1+target)^($J462-(MIN(tbl_rep_mon[year])))</f>
        <v>1.1499999999999999</v>
      </c>
      <c r="L462" s="35">
        <f t="shared" si="54"/>
        <v>0.33</v>
      </c>
      <c r="M462" s="37">
        <f t="shared" si="55"/>
        <v>7730.9578500000007</v>
      </c>
    </row>
    <row r="463" spans="1:13" x14ac:dyDescent="0.4">
      <c r="A463" t="s">
        <v>7</v>
      </c>
      <c r="B463">
        <v>4</v>
      </c>
      <c r="C463" s="36">
        <v>55226</v>
      </c>
      <c r="D463" s="1">
        <v>44896</v>
      </c>
      <c r="E463" s="35">
        <f t="shared" si="49"/>
        <v>0.42</v>
      </c>
      <c r="F463" s="37">
        <f t="shared" si="50"/>
        <v>27613</v>
      </c>
      <c r="G463" s="37">
        <f t="shared" si="51"/>
        <v>11597.46</v>
      </c>
      <c r="H463" s="36" cm="1">
        <f t="array" ref="H463">SUMPRODUCT((C463&gt;tier_floor)*((C463-tier_floor)*step)*margin_rate)</f>
        <v>8347.4599999999991</v>
      </c>
      <c r="I463" s="37">
        <f t="shared" si="52"/>
        <v>3250</v>
      </c>
      <c r="J463" s="38">
        <f t="shared" si="53"/>
        <v>2022</v>
      </c>
      <c r="K463" s="128">
        <f>(1+target)^($J463-(MIN(tbl_rep_mon[year])))</f>
        <v>1.1499999999999999</v>
      </c>
      <c r="L463" s="35">
        <f t="shared" si="54"/>
        <v>0.33</v>
      </c>
      <c r="M463" s="37">
        <f t="shared" si="55"/>
        <v>9112.2900000000009</v>
      </c>
    </row>
    <row r="464" spans="1:13" x14ac:dyDescent="0.4">
      <c r="A464" t="s">
        <v>8</v>
      </c>
      <c r="B464">
        <v>4</v>
      </c>
      <c r="C464" s="36">
        <v>47794.95</v>
      </c>
      <c r="D464" s="1">
        <v>44896</v>
      </c>
      <c r="E464" s="35">
        <f t="shared" si="49"/>
        <v>0.33</v>
      </c>
      <c r="F464" s="37">
        <f t="shared" si="50"/>
        <v>23897.474999999999</v>
      </c>
      <c r="G464" s="37">
        <f t="shared" si="51"/>
        <v>7886.1667500000003</v>
      </c>
      <c r="H464" s="36" cm="1">
        <f t="array" ref="H464">SUMPRODUCT((C464&gt;tier_floor)*((C464-tier_floor)*step)*margin_rate)</f>
        <v>6886.1667499999994</v>
      </c>
      <c r="I464" s="37">
        <f t="shared" si="52"/>
        <v>1000.0000000000009</v>
      </c>
      <c r="J464" s="38">
        <f t="shared" si="53"/>
        <v>2022</v>
      </c>
      <c r="K464" s="128">
        <f>(1+target)^($J464-(MIN(tbl_rep_mon[year])))</f>
        <v>1.1499999999999999</v>
      </c>
      <c r="L464" s="35">
        <f t="shared" si="54"/>
        <v>0.33</v>
      </c>
      <c r="M464" s="37">
        <f t="shared" si="55"/>
        <v>7886.1667500000003</v>
      </c>
    </row>
    <row r="465" spans="1:13" x14ac:dyDescent="0.4">
      <c r="A465" t="s">
        <v>15</v>
      </c>
      <c r="B465">
        <v>3</v>
      </c>
      <c r="C465" s="36">
        <v>67088.479999999996</v>
      </c>
      <c r="D465" s="1">
        <v>44896</v>
      </c>
      <c r="E465" s="35">
        <f t="shared" si="49"/>
        <v>0.42</v>
      </c>
      <c r="F465" s="37">
        <f t="shared" si="50"/>
        <v>33544.239999999998</v>
      </c>
      <c r="G465" s="37">
        <f t="shared" si="51"/>
        <v>14088.580799999998</v>
      </c>
      <c r="H465" s="36" cm="1">
        <f t="array" ref="H465">SUMPRODUCT((C465&gt;tier_floor)*((C465-tier_floor)*step)*margin_rate)</f>
        <v>10838.5808</v>
      </c>
      <c r="I465" s="37">
        <f t="shared" si="52"/>
        <v>3249.9999999999982</v>
      </c>
      <c r="J465" s="38">
        <f t="shared" si="53"/>
        <v>2022</v>
      </c>
      <c r="K465" s="128">
        <f>(1+target)^($J465-(MIN(tbl_rep_mon[year])))</f>
        <v>1.1499999999999999</v>
      </c>
      <c r="L465" s="35">
        <f t="shared" si="54"/>
        <v>0.42</v>
      </c>
      <c r="M465" s="37">
        <f t="shared" si="55"/>
        <v>14088.580799999998</v>
      </c>
    </row>
    <row r="466" spans="1:13" x14ac:dyDescent="0.4">
      <c r="A466" t="s">
        <v>16</v>
      </c>
      <c r="B466">
        <v>3</v>
      </c>
      <c r="C466" s="36">
        <v>78830.31</v>
      </c>
      <c r="D466" s="1">
        <v>44896</v>
      </c>
      <c r="E466" s="35">
        <f t="shared" si="49"/>
        <v>0.51</v>
      </c>
      <c r="F466" s="37">
        <f t="shared" si="50"/>
        <v>39415.154999999999</v>
      </c>
      <c r="G466" s="37">
        <f t="shared" si="51"/>
        <v>20101.729049999998</v>
      </c>
      <c r="H466" s="36" cm="1">
        <f t="array" ref="H466">SUMPRODUCT((C466&gt;tier_floor)*((C466-tier_floor)*step)*margin_rate)</f>
        <v>13476.729049999998</v>
      </c>
      <c r="I466" s="37">
        <f t="shared" si="52"/>
        <v>6625</v>
      </c>
      <c r="J466" s="38">
        <f t="shared" si="53"/>
        <v>2022</v>
      </c>
      <c r="K466" s="128">
        <f>(1+target)^($J466-(MIN(tbl_rep_mon[year])))</f>
        <v>1.1499999999999999</v>
      </c>
      <c r="L466" s="35">
        <f t="shared" si="54"/>
        <v>0.42</v>
      </c>
      <c r="M466" s="37">
        <f t="shared" si="55"/>
        <v>16554.365099999999</v>
      </c>
    </row>
    <row r="467" spans="1:13" x14ac:dyDescent="0.4">
      <c r="A467" t="s">
        <v>18</v>
      </c>
      <c r="B467">
        <v>3</v>
      </c>
      <c r="C467" s="36">
        <v>75929.509999999995</v>
      </c>
      <c r="D467" s="1">
        <v>44896</v>
      </c>
      <c r="E467" s="35">
        <f t="shared" si="49"/>
        <v>0.51</v>
      </c>
      <c r="F467" s="37">
        <f t="shared" si="50"/>
        <v>37964.754999999997</v>
      </c>
      <c r="G467" s="37">
        <f t="shared" si="51"/>
        <v>19362.02505</v>
      </c>
      <c r="H467" s="36" cm="1">
        <f t="array" ref="H467">SUMPRODUCT((C467&gt;tier_floor)*((C467-tier_floor)*step)*margin_rate)</f>
        <v>12737.025049999997</v>
      </c>
      <c r="I467" s="37">
        <f t="shared" si="52"/>
        <v>6625.0000000000036</v>
      </c>
      <c r="J467" s="38">
        <f t="shared" si="53"/>
        <v>2022</v>
      </c>
      <c r="K467" s="128">
        <f>(1+target)^($J467-(MIN(tbl_rep_mon[year])))</f>
        <v>1.1499999999999999</v>
      </c>
      <c r="L467" s="35">
        <f t="shared" si="54"/>
        <v>0.42</v>
      </c>
      <c r="M467" s="37">
        <f t="shared" si="55"/>
        <v>15945.197099999998</v>
      </c>
    </row>
    <row r="468" spans="1:13" x14ac:dyDescent="0.4">
      <c r="A468" t="s">
        <v>19</v>
      </c>
      <c r="B468">
        <v>4</v>
      </c>
      <c r="C468" s="36">
        <v>54349.84</v>
      </c>
      <c r="D468" s="1">
        <v>44896</v>
      </c>
      <c r="E468" s="35">
        <f t="shared" si="49"/>
        <v>0.42</v>
      </c>
      <c r="F468" s="37">
        <f t="shared" si="50"/>
        <v>27174.92</v>
      </c>
      <c r="G468" s="37">
        <f t="shared" si="51"/>
        <v>11413.466399999999</v>
      </c>
      <c r="H468" s="36" cm="1">
        <f t="array" ref="H468">SUMPRODUCT((C468&gt;tier_floor)*((C468-tier_floor)*step)*margin_rate)</f>
        <v>8163.4663999999993</v>
      </c>
      <c r="I468" s="37">
        <f t="shared" si="52"/>
        <v>3250</v>
      </c>
      <c r="J468" s="38">
        <f t="shared" si="53"/>
        <v>2022</v>
      </c>
      <c r="K468" s="128">
        <f>(1+target)^($J468-(MIN(tbl_rep_mon[year])))</f>
        <v>1.1499999999999999</v>
      </c>
      <c r="L468" s="35">
        <f t="shared" si="54"/>
        <v>0.33</v>
      </c>
      <c r="M468" s="37">
        <f t="shared" si="55"/>
        <v>8967.7235999999994</v>
      </c>
    </row>
    <row r="469" spans="1:13" x14ac:dyDescent="0.4">
      <c r="A469" t="s">
        <v>23</v>
      </c>
      <c r="B469">
        <v>1</v>
      </c>
      <c r="C469" s="36">
        <v>99178.42</v>
      </c>
      <c r="D469" s="1">
        <v>44896</v>
      </c>
      <c r="E469" s="35">
        <f t="shared" si="49"/>
        <v>0.51</v>
      </c>
      <c r="F469" s="37">
        <f t="shared" si="50"/>
        <v>49589.21</v>
      </c>
      <c r="G469" s="37">
        <f t="shared" si="51"/>
        <v>25290.497100000001</v>
      </c>
      <c r="H469" s="36" cm="1">
        <f t="array" ref="H469">SUMPRODUCT((C469&gt;tier_floor)*((C469-tier_floor)*step)*margin_rate)</f>
        <v>18665.497100000001</v>
      </c>
      <c r="I469" s="37">
        <f t="shared" si="52"/>
        <v>6625</v>
      </c>
      <c r="J469" s="38">
        <f t="shared" si="53"/>
        <v>2022</v>
      </c>
      <c r="K469" s="128">
        <f>(1+target)^($J469-(MIN(tbl_rep_mon[year])))</f>
        <v>1.1499999999999999</v>
      </c>
      <c r="L469" s="35">
        <f t="shared" si="54"/>
        <v>0.51</v>
      </c>
      <c r="M469" s="37">
        <f t="shared" si="55"/>
        <v>25290.497100000001</v>
      </c>
    </row>
    <row r="470" spans="1:13" x14ac:dyDescent="0.4">
      <c r="A470" t="s">
        <v>24</v>
      </c>
      <c r="B470">
        <v>3</v>
      </c>
      <c r="C470" s="36">
        <v>46454.29</v>
      </c>
      <c r="D470" s="1">
        <v>44896</v>
      </c>
      <c r="E470" s="35">
        <f t="shared" si="49"/>
        <v>0.33</v>
      </c>
      <c r="F470" s="37">
        <f t="shared" si="50"/>
        <v>23227.145</v>
      </c>
      <c r="G470" s="37">
        <f t="shared" si="51"/>
        <v>7664.9578500000007</v>
      </c>
      <c r="H470" s="36" cm="1">
        <f t="array" ref="H470">SUMPRODUCT((C470&gt;tier_floor)*((C470-tier_floor)*step)*margin_rate)</f>
        <v>6664.9578500000007</v>
      </c>
      <c r="I470" s="37">
        <f t="shared" si="52"/>
        <v>1000</v>
      </c>
      <c r="J470" s="38">
        <f t="shared" si="53"/>
        <v>2022</v>
      </c>
      <c r="K470" s="128">
        <f>(1+target)^($J470-(MIN(tbl_rep_mon[year])))</f>
        <v>1.1499999999999999</v>
      </c>
      <c r="L470" s="35">
        <f t="shared" si="54"/>
        <v>0.33</v>
      </c>
      <c r="M470" s="37">
        <f t="shared" si="55"/>
        <v>7664.9578500000007</v>
      </c>
    </row>
    <row r="471" spans="1:13" x14ac:dyDescent="0.4">
      <c r="A471" t="s">
        <v>25</v>
      </c>
      <c r="B471">
        <v>2</v>
      </c>
      <c r="C471" s="36">
        <v>52344.24</v>
      </c>
      <c r="D471" s="1">
        <v>44896</v>
      </c>
      <c r="E471" s="35">
        <f t="shared" si="49"/>
        <v>0.42</v>
      </c>
      <c r="F471" s="37">
        <f t="shared" si="50"/>
        <v>26172.12</v>
      </c>
      <c r="G471" s="37">
        <f t="shared" si="51"/>
        <v>10992.2904</v>
      </c>
      <c r="H471" s="36" cm="1">
        <f t="array" ref="H471">SUMPRODUCT((C471&gt;tier_floor)*((C471-tier_floor)*step)*margin_rate)</f>
        <v>7742.2903999999999</v>
      </c>
      <c r="I471" s="37">
        <f t="shared" si="52"/>
        <v>3250</v>
      </c>
      <c r="J471" s="38">
        <f t="shared" si="53"/>
        <v>2022</v>
      </c>
      <c r="K471" s="128">
        <f>(1+target)^($J471-(MIN(tbl_rep_mon[year])))</f>
        <v>1.1499999999999999</v>
      </c>
      <c r="L471" s="35">
        <f t="shared" si="54"/>
        <v>0.33</v>
      </c>
      <c r="M471" s="37">
        <f t="shared" si="55"/>
        <v>8636.7996000000003</v>
      </c>
    </row>
    <row r="472" spans="1:13" x14ac:dyDescent="0.4">
      <c r="A472" t="s">
        <v>26</v>
      </c>
      <c r="B472">
        <v>2</v>
      </c>
      <c r="C472" s="36">
        <v>61632.08</v>
      </c>
      <c r="D472" s="1">
        <v>44896</v>
      </c>
      <c r="E472" s="35">
        <f t="shared" si="49"/>
        <v>0.42</v>
      </c>
      <c r="F472" s="37">
        <f t="shared" si="50"/>
        <v>30816.04</v>
      </c>
      <c r="G472" s="37">
        <f t="shared" si="51"/>
        <v>12942.736800000001</v>
      </c>
      <c r="H472" s="36" cm="1">
        <f t="array" ref="H472">SUMPRODUCT((C472&gt;tier_floor)*((C472-tier_floor)*step)*margin_rate)</f>
        <v>9692.7368000000006</v>
      </c>
      <c r="I472" s="37">
        <f t="shared" si="52"/>
        <v>3250</v>
      </c>
      <c r="J472" s="38">
        <f t="shared" si="53"/>
        <v>2022</v>
      </c>
      <c r="K472" s="128">
        <f>(1+target)^($J472-(MIN(tbl_rep_mon[year])))</f>
        <v>1.1499999999999999</v>
      </c>
      <c r="L472" s="35">
        <f t="shared" si="54"/>
        <v>0.42</v>
      </c>
      <c r="M472" s="37">
        <f t="shared" si="55"/>
        <v>12942.736800000001</v>
      </c>
    </row>
    <row r="473" spans="1:13" x14ac:dyDescent="0.4">
      <c r="A473" t="s">
        <v>28</v>
      </c>
      <c r="B473">
        <v>2</v>
      </c>
      <c r="C473" s="36">
        <v>51507.54</v>
      </c>
      <c r="D473" s="1">
        <v>44896</v>
      </c>
      <c r="E473" s="35">
        <f t="shared" si="49"/>
        <v>0.42</v>
      </c>
      <c r="F473" s="37">
        <f t="shared" si="50"/>
        <v>25753.77</v>
      </c>
      <c r="G473" s="37">
        <f t="shared" si="51"/>
        <v>10816.5834</v>
      </c>
      <c r="H473" s="36" cm="1">
        <f t="array" ref="H473">SUMPRODUCT((C473&gt;tier_floor)*((C473-tier_floor)*step)*margin_rate)</f>
        <v>7566.5833999999995</v>
      </c>
      <c r="I473" s="37">
        <f t="shared" si="52"/>
        <v>3250</v>
      </c>
      <c r="J473" s="38">
        <f t="shared" si="53"/>
        <v>2022</v>
      </c>
      <c r="K473" s="128">
        <f>(1+target)^($J473-(MIN(tbl_rep_mon[year])))</f>
        <v>1.1499999999999999</v>
      </c>
      <c r="L473" s="35">
        <f t="shared" si="54"/>
        <v>0.33</v>
      </c>
      <c r="M473" s="37">
        <f t="shared" si="55"/>
        <v>8498.7440999999999</v>
      </c>
    </row>
    <row r="474" spans="1:13" x14ac:dyDescent="0.4">
      <c r="A474" t="s">
        <v>29</v>
      </c>
      <c r="B474">
        <v>1</v>
      </c>
      <c r="C474" s="36">
        <v>85094.22</v>
      </c>
      <c r="D474" s="1">
        <v>44896</v>
      </c>
      <c r="E474" s="35">
        <f t="shared" si="49"/>
        <v>0.51</v>
      </c>
      <c r="F474" s="37">
        <f t="shared" si="50"/>
        <v>42547.11</v>
      </c>
      <c r="G474" s="37">
        <f t="shared" si="51"/>
        <v>21699.026099999999</v>
      </c>
      <c r="H474" s="36" cm="1">
        <f t="array" ref="H474">SUMPRODUCT((C474&gt;tier_floor)*((C474-tier_floor)*step)*margin_rate)</f>
        <v>15074.026100000003</v>
      </c>
      <c r="I474" s="37">
        <f t="shared" si="52"/>
        <v>6624.9999999999964</v>
      </c>
      <c r="J474" s="38">
        <f t="shared" si="53"/>
        <v>2022</v>
      </c>
      <c r="K474" s="128">
        <f>(1+target)^($J474-(MIN(tbl_rep_mon[year])))</f>
        <v>1.1499999999999999</v>
      </c>
      <c r="L474" s="35">
        <f t="shared" si="54"/>
        <v>0.42</v>
      </c>
      <c r="M474" s="37">
        <f t="shared" si="55"/>
        <v>17869.786199999999</v>
      </c>
    </row>
    <row r="475" spans="1:13" x14ac:dyDescent="0.4">
      <c r="A475" t="s">
        <v>31</v>
      </c>
      <c r="B475">
        <v>4</v>
      </c>
      <c r="C475" s="36">
        <v>42390.57</v>
      </c>
      <c r="D475" s="1">
        <v>44896</v>
      </c>
      <c r="E475" s="35">
        <f t="shared" si="49"/>
        <v>0.33</v>
      </c>
      <c r="F475" s="37">
        <f t="shared" si="50"/>
        <v>21195.285</v>
      </c>
      <c r="G475" s="37">
        <f t="shared" si="51"/>
        <v>6994.4440500000001</v>
      </c>
      <c r="H475" s="36" cm="1">
        <f t="array" ref="H475">SUMPRODUCT((C475&gt;tier_floor)*((C475-tier_floor)*step)*margin_rate)</f>
        <v>5994.4440500000001</v>
      </c>
      <c r="I475" s="37">
        <f t="shared" si="52"/>
        <v>1000</v>
      </c>
      <c r="J475" s="38">
        <f t="shared" si="53"/>
        <v>2022</v>
      </c>
      <c r="K475" s="128">
        <f>(1+target)^($J475-(MIN(tbl_rep_mon[year])))</f>
        <v>1.1499999999999999</v>
      </c>
      <c r="L475" s="35">
        <f t="shared" si="54"/>
        <v>0.33</v>
      </c>
      <c r="M475" s="37">
        <f t="shared" si="55"/>
        <v>6994.4440500000001</v>
      </c>
    </row>
    <row r="476" spans="1:13" x14ac:dyDescent="0.4">
      <c r="A476" t="s">
        <v>32</v>
      </c>
      <c r="B476">
        <v>4</v>
      </c>
      <c r="C476" s="36">
        <v>68337.919999999998</v>
      </c>
      <c r="D476" s="1">
        <v>44896</v>
      </c>
      <c r="E476" s="35">
        <f t="shared" si="49"/>
        <v>0.42</v>
      </c>
      <c r="F476" s="37">
        <f t="shared" si="50"/>
        <v>34168.959999999999</v>
      </c>
      <c r="G476" s="37">
        <f t="shared" si="51"/>
        <v>14350.963199999998</v>
      </c>
      <c r="H476" s="36" cm="1">
        <f t="array" ref="H476">SUMPRODUCT((C476&gt;tier_floor)*((C476-tier_floor)*step)*margin_rate)</f>
        <v>11100.963199999998</v>
      </c>
      <c r="I476" s="37">
        <f t="shared" si="52"/>
        <v>3250</v>
      </c>
      <c r="J476" s="38">
        <f t="shared" si="53"/>
        <v>2022</v>
      </c>
      <c r="K476" s="128">
        <f>(1+target)^($J476-(MIN(tbl_rep_mon[year])))</f>
        <v>1.1499999999999999</v>
      </c>
      <c r="L476" s="35">
        <f t="shared" si="54"/>
        <v>0.42</v>
      </c>
      <c r="M476" s="37">
        <f t="shared" si="55"/>
        <v>14350.963199999998</v>
      </c>
    </row>
    <row r="477" spans="1:13" x14ac:dyDescent="0.4">
      <c r="A477" t="s">
        <v>33</v>
      </c>
      <c r="B477">
        <v>3</v>
      </c>
      <c r="C477" s="36">
        <v>41565.449999999997</v>
      </c>
      <c r="D477" s="1">
        <v>44896</v>
      </c>
      <c r="E477" s="35">
        <f t="shared" si="49"/>
        <v>0.33</v>
      </c>
      <c r="F477" s="37">
        <f t="shared" si="50"/>
        <v>20782.724999999999</v>
      </c>
      <c r="G477" s="37">
        <f t="shared" si="51"/>
        <v>6858.29925</v>
      </c>
      <c r="H477" s="36" cm="1">
        <f t="array" ref="H477">SUMPRODUCT((C477&gt;tier_floor)*((C477-tier_floor)*step)*margin_rate)</f>
        <v>5858.29925</v>
      </c>
      <c r="I477" s="37">
        <f t="shared" si="52"/>
        <v>1000</v>
      </c>
      <c r="J477" s="38">
        <f t="shared" si="53"/>
        <v>2022</v>
      </c>
      <c r="K477" s="128">
        <f>(1+target)^($J477-(MIN(tbl_rep_mon[year])))</f>
        <v>1.1499999999999999</v>
      </c>
      <c r="L477" s="35">
        <f t="shared" si="54"/>
        <v>0.33</v>
      </c>
      <c r="M477" s="37">
        <f t="shared" si="55"/>
        <v>6858.29925</v>
      </c>
    </row>
    <row r="478" spans="1:13" x14ac:dyDescent="0.4">
      <c r="A478" t="s">
        <v>34</v>
      </c>
      <c r="B478">
        <v>4</v>
      </c>
      <c r="C478" s="36">
        <v>47901.5</v>
      </c>
      <c r="D478" s="1">
        <v>44896</v>
      </c>
      <c r="E478" s="35">
        <f t="shared" si="49"/>
        <v>0.33</v>
      </c>
      <c r="F478" s="37">
        <f t="shared" si="50"/>
        <v>23950.75</v>
      </c>
      <c r="G478" s="37">
        <f t="shared" si="51"/>
        <v>7903.7475000000004</v>
      </c>
      <c r="H478" s="36" cm="1">
        <f t="array" ref="H478">SUMPRODUCT((C478&gt;tier_floor)*((C478-tier_floor)*step)*margin_rate)</f>
        <v>6903.7475000000004</v>
      </c>
      <c r="I478" s="37">
        <f t="shared" si="52"/>
        <v>1000</v>
      </c>
      <c r="J478" s="38">
        <f t="shared" si="53"/>
        <v>2022</v>
      </c>
      <c r="K478" s="128">
        <f>(1+target)^($J478-(MIN(tbl_rep_mon[year])))</f>
        <v>1.1499999999999999</v>
      </c>
      <c r="L478" s="35">
        <f t="shared" si="54"/>
        <v>0.33</v>
      </c>
      <c r="M478" s="37">
        <f t="shared" si="55"/>
        <v>7903.7475000000004</v>
      </c>
    </row>
    <row r="479" spans="1:13" x14ac:dyDescent="0.4">
      <c r="A479" t="s">
        <v>35</v>
      </c>
      <c r="B479">
        <v>4</v>
      </c>
      <c r="C479" s="36">
        <v>42101.19</v>
      </c>
      <c r="D479" s="1">
        <v>44896</v>
      </c>
      <c r="E479" s="35">
        <f t="shared" si="49"/>
        <v>0.33</v>
      </c>
      <c r="F479" s="37">
        <f t="shared" si="50"/>
        <v>21050.595000000001</v>
      </c>
      <c r="G479" s="37">
        <f t="shared" si="51"/>
        <v>6946.6963500000011</v>
      </c>
      <c r="H479" s="36" cm="1">
        <f t="array" ref="H479">SUMPRODUCT((C479&gt;tier_floor)*((C479-tier_floor)*step)*margin_rate)</f>
        <v>5946.6963500000002</v>
      </c>
      <c r="I479" s="37">
        <f t="shared" si="52"/>
        <v>1000.0000000000009</v>
      </c>
      <c r="J479" s="38">
        <f t="shared" si="53"/>
        <v>2022</v>
      </c>
      <c r="K479" s="128">
        <f>(1+target)^($J479-(MIN(tbl_rep_mon[year])))</f>
        <v>1.1499999999999999</v>
      </c>
      <c r="L479" s="35">
        <f t="shared" si="54"/>
        <v>0.33</v>
      </c>
      <c r="M479" s="37">
        <f t="shared" si="55"/>
        <v>6946.6963500000011</v>
      </c>
    </row>
    <row r="480" spans="1:13" x14ac:dyDescent="0.4">
      <c r="A480" t="s">
        <v>36</v>
      </c>
      <c r="B480">
        <v>2</v>
      </c>
      <c r="C480" s="36">
        <v>69548.960000000006</v>
      </c>
      <c r="D480" s="1">
        <v>44896</v>
      </c>
      <c r="E480" s="35">
        <f t="shared" si="49"/>
        <v>0.42</v>
      </c>
      <c r="F480" s="37">
        <f t="shared" si="50"/>
        <v>34774.480000000003</v>
      </c>
      <c r="G480" s="37">
        <f t="shared" si="51"/>
        <v>14605.2816</v>
      </c>
      <c r="H480" s="36" cm="1">
        <f t="array" ref="H480">SUMPRODUCT((C480&gt;tier_floor)*((C480-tier_floor)*step)*margin_rate)</f>
        <v>11355.281600000002</v>
      </c>
      <c r="I480" s="37">
        <f t="shared" si="52"/>
        <v>3249.9999999999982</v>
      </c>
      <c r="J480" s="38">
        <f t="shared" si="53"/>
        <v>2022</v>
      </c>
      <c r="K480" s="128">
        <f>(1+target)^($J480-(MIN(tbl_rep_mon[year])))</f>
        <v>1.1499999999999999</v>
      </c>
      <c r="L480" s="35">
        <f t="shared" si="54"/>
        <v>0.42</v>
      </c>
      <c r="M480" s="37">
        <f t="shared" si="55"/>
        <v>14605.2816</v>
      </c>
    </row>
    <row r="481" spans="1:13" x14ac:dyDescent="0.4">
      <c r="A481" t="s">
        <v>37</v>
      </c>
      <c r="B481">
        <v>4</v>
      </c>
      <c r="C481" s="36">
        <v>63876.49</v>
      </c>
      <c r="D481" s="1">
        <v>44896</v>
      </c>
      <c r="E481" s="35">
        <f t="shared" si="49"/>
        <v>0.42</v>
      </c>
      <c r="F481" s="37">
        <f t="shared" si="50"/>
        <v>31938.244999999999</v>
      </c>
      <c r="G481" s="37">
        <f t="shared" si="51"/>
        <v>13414.062899999999</v>
      </c>
      <c r="H481" s="36" cm="1">
        <f t="array" ref="H481">SUMPRODUCT((C481&gt;tier_floor)*((C481-tier_floor)*step)*margin_rate)</f>
        <v>10164.062899999999</v>
      </c>
      <c r="I481" s="37">
        <f t="shared" si="52"/>
        <v>3250</v>
      </c>
      <c r="J481" s="38">
        <f t="shared" si="53"/>
        <v>2022</v>
      </c>
      <c r="K481" s="128">
        <f>(1+target)^($J481-(MIN(tbl_rep_mon[year])))</f>
        <v>1.1499999999999999</v>
      </c>
      <c r="L481" s="35">
        <f t="shared" si="54"/>
        <v>0.42</v>
      </c>
      <c r="M481" s="37">
        <f t="shared" si="55"/>
        <v>13414.062899999999</v>
      </c>
    </row>
    <row r="482" spans="1:13" x14ac:dyDescent="0.4">
      <c r="A482" t="s">
        <v>6</v>
      </c>
      <c r="B482">
        <v>2</v>
      </c>
      <c r="C482" s="36">
        <v>62613.71</v>
      </c>
      <c r="D482" s="1">
        <v>44927</v>
      </c>
      <c r="E482" s="35">
        <f t="shared" si="49"/>
        <v>0.42</v>
      </c>
      <c r="F482" s="37">
        <f t="shared" si="50"/>
        <v>31306.855</v>
      </c>
      <c r="G482" s="37">
        <f t="shared" si="51"/>
        <v>13148.8791</v>
      </c>
      <c r="H482" s="36" cm="1">
        <f t="array" ref="H482">SUMPRODUCT((C482&gt;tier_floor)*((C482-tier_floor)*step)*margin_rate)</f>
        <v>9898.8791000000001</v>
      </c>
      <c r="I482" s="37">
        <f t="shared" si="52"/>
        <v>3250</v>
      </c>
      <c r="J482" s="38">
        <f t="shared" si="53"/>
        <v>2023</v>
      </c>
      <c r="K482" s="128">
        <f>(1+target)^($J482-(MIN(tbl_rep_mon[year])))</f>
        <v>1.3224999999999998</v>
      </c>
      <c r="L482" s="35">
        <f t="shared" si="54"/>
        <v>0.33</v>
      </c>
      <c r="M482" s="37">
        <f t="shared" si="55"/>
        <v>10331.26215</v>
      </c>
    </row>
    <row r="483" spans="1:13" x14ac:dyDescent="0.4">
      <c r="A483" t="s">
        <v>7</v>
      </c>
      <c r="B483">
        <v>4</v>
      </c>
      <c r="C483" s="36">
        <v>52627.75</v>
      </c>
      <c r="D483" s="1">
        <v>44927</v>
      </c>
      <c r="E483" s="35">
        <f t="shared" si="49"/>
        <v>0.42</v>
      </c>
      <c r="F483" s="37">
        <f t="shared" si="50"/>
        <v>26313.875</v>
      </c>
      <c r="G483" s="37">
        <f t="shared" si="51"/>
        <v>11051.827499999999</v>
      </c>
      <c r="H483" s="36" cm="1">
        <f t="array" ref="H483">SUMPRODUCT((C483&gt;tier_floor)*((C483-tier_floor)*step)*margin_rate)</f>
        <v>7801.8275000000003</v>
      </c>
      <c r="I483" s="37">
        <f t="shared" si="52"/>
        <v>3249.9999999999991</v>
      </c>
      <c r="J483" s="38">
        <f t="shared" si="53"/>
        <v>2023</v>
      </c>
      <c r="K483" s="128">
        <f>(1+target)^($J483-(MIN(tbl_rep_mon[year])))</f>
        <v>1.3224999999999998</v>
      </c>
      <c r="L483" s="35">
        <f t="shared" si="54"/>
        <v>0.33</v>
      </c>
      <c r="M483" s="37">
        <f t="shared" si="55"/>
        <v>8683.5787500000006</v>
      </c>
    </row>
    <row r="484" spans="1:13" x14ac:dyDescent="0.4">
      <c r="A484" t="s">
        <v>8</v>
      </c>
      <c r="B484">
        <v>4</v>
      </c>
      <c r="C484" s="36">
        <v>59206.49</v>
      </c>
      <c r="D484" s="1">
        <v>44927</v>
      </c>
      <c r="E484" s="35">
        <f t="shared" si="49"/>
        <v>0.42</v>
      </c>
      <c r="F484" s="37">
        <f t="shared" si="50"/>
        <v>29603.244999999999</v>
      </c>
      <c r="G484" s="37">
        <f t="shared" si="51"/>
        <v>12433.362899999998</v>
      </c>
      <c r="H484" s="36" cm="1">
        <f t="array" ref="H484">SUMPRODUCT((C484&gt;tier_floor)*((C484-tier_floor)*step)*margin_rate)</f>
        <v>9183.3629000000001</v>
      </c>
      <c r="I484" s="37">
        <f t="shared" si="52"/>
        <v>3249.9999999999982</v>
      </c>
      <c r="J484" s="38">
        <f t="shared" si="53"/>
        <v>2023</v>
      </c>
      <c r="K484" s="128">
        <f>(1+target)^($J484-(MIN(tbl_rep_mon[year])))</f>
        <v>1.3224999999999998</v>
      </c>
      <c r="L484" s="35">
        <f t="shared" si="54"/>
        <v>0.33</v>
      </c>
      <c r="M484" s="37">
        <f t="shared" si="55"/>
        <v>9769.0708500000001</v>
      </c>
    </row>
    <row r="485" spans="1:13" x14ac:dyDescent="0.4">
      <c r="A485" t="s">
        <v>15</v>
      </c>
      <c r="B485">
        <v>3</v>
      </c>
      <c r="C485" s="36">
        <v>84896.12</v>
      </c>
      <c r="D485" s="1">
        <v>44927</v>
      </c>
      <c r="E485" s="35">
        <f t="shared" si="49"/>
        <v>0.51</v>
      </c>
      <c r="F485" s="37">
        <f t="shared" si="50"/>
        <v>42448.06</v>
      </c>
      <c r="G485" s="37">
        <f t="shared" si="51"/>
        <v>21648.510599999998</v>
      </c>
      <c r="H485" s="36" cm="1">
        <f t="array" ref="H485">SUMPRODUCT((C485&gt;tier_floor)*((C485-tier_floor)*step)*margin_rate)</f>
        <v>15023.5106</v>
      </c>
      <c r="I485" s="37">
        <f t="shared" si="52"/>
        <v>6624.9999999999982</v>
      </c>
      <c r="J485" s="38">
        <f t="shared" si="53"/>
        <v>2023</v>
      </c>
      <c r="K485" s="128">
        <f>(1+target)^($J485-(MIN(tbl_rep_mon[year])))</f>
        <v>1.3224999999999998</v>
      </c>
      <c r="L485" s="35">
        <f t="shared" si="54"/>
        <v>0.42</v>
      </c>
      <c r="M485" s="37">
        <f t="shared" si="55"/>
        <v>17828.1852</v>
      </c>
    </row>
    <row r="486" spans="1:13" x14ac:dyDescent="0.4">
      <c r="A486" t="s">
        <v>16</v>
      </c>
      <c r="B486">
        <v>3</v>
      </c>
      <c r="C486" s="36">
        <v>66958.14</v>
      </c>
      <c r="D486" s="1">
        <v>44927</v>
      </c>
      <c r="E486" s="35">
        <f t="shared" si="49"/>
        <v>0.42</v>
      </c>
      <c r="F486" s="37">
        <f t="shared" si="50"/>
        <v>33479.07</v>
      </c>
      <c r="G486" s="37">
        <f t="shared" si="51"/>
        <v>14061.2094</v>
      </c>
      <c r="H486" s="36" cm="1">
        <f t="array" ref="H486">SUMPRODUCT((C486&gt;tier_floor)*((C486-tier_floor)*step)*margin_rate)</f>
        <v>10811.2094</v>
      </c>
      <c r="I486" s="37">
        <f t="shared" si="52"/>
        <v>3250</v>
      </c>
      <c r="J486" s="38">
        <f t="shared" si="53"/>
        <v>2023</v>
      </c>
      <c r="K486" s="128">
        <f>(1+target)^($J486-(MIN(tbl_rep_mon[year])))</f>
        <v>1.3224999999999998</v>
      </c>
      <c r="L486" s="35">
        <f t="shared" si="54"/>
        <v>0.42</v>
      </c>
      <c r="M486" s="37">
        <f t="shared" si="55"/>
        <v>14061.2094</v>
      </c>
    </row>
    <row r="487" spans="1:13" x14ac:dyDescent="0.4">
      <c r="A487" t="s">
        <v>18</v>
      </c>
      <c r="B487">
        <v>3</v>
      </c>
      <c r="C487" s="36">
        <v>83738.009999999995</v>
      </c>
      <c r="D487" s="1">
        <v>44927</v>
      </c>
      <c r="E487" s="35">
        <f t="shared" si="49"/>
        <v>0.51</v>
      </c>
      <c r="F487" s="37">
        <f t="shared" si="50"/>
        <v>41869.004999999997</v>
      </c>
      <c r="G487" s="37">
        <f t="shared" si="51"/>
        <v>21353.19255</v>
      </c>
      <c r="H487" s="36" cm="1">
        <f t="array" ref="H487">SUMPRODUCT((C487&gt;tier_floor)*((C487-tier_floor)*step)*margin_rate)</f>
        <v>14728.192549999998</v>
      </c>
      <c r="I487" s="37">
        <f t="shared" si="52"/>
        <v>6625.0000000000018</v>
      </c>
      <c r="J487" s="38">
        <f t="shared" si="53"/>
        <v>2023</v>
      </c>
      <c r="K487" s="128">
        <f>(1+target)^($J487-(MIN(tbl_rep_mon[year])))</f>
        <v>1.3224999999999998</v>
      </c>
      <c r="L487" s="35">
        <f t="shared" si="54"/>
        <v>0.42</v>
      </c>
      <c r="M487" s="37">
        <f t="shared" si="55"/>
        <v>17584.982099999997</v>
      </c>
    </row>
    <row r="488" spans="1:13" x14ac:dyDescent="0.4">
      <c r="A488" t="s">
        <v>19</v>
      </c>
      <c r="B488">
        <v>4</v>
      </c>
      <c r="C488" s="36">
        <v>59026.45</v>
      </c>
      <c r="D488" s="1">
        <v>44927</v>
      </c>
      <c r="E488" s="35">
        <f t="shared" si="49"/>
        <v>0.42</v>
      </c>
      <c r="F488" s="37">
        <f t="shared" si="50"/>
        <v>29513.224999999999</v>
      </c>
      <c r="G488" s="37">
        <f t="shared" si="51"/>
        <v>12395.554499999998</v>
      </c>
      <c r="H488" s="36" cm="1">
        <f t="array" ref="H488">SUMPRODUCT((C488&gt;tier_floor)*((C488-tier_floor)*step)*margin_rate)</f>
        <v>9145.5545000000002</v>
      </c>
      <c r="I488" s="37">
        <f t="shared" si="52"/>
        <v>3249.9999999999982</v>
      </c>
      <c r="J488" s="38">
        <f t="shared" si="53"/>
        <v>2023</v>
      </c>
      <c r="K488" s="128">
        <f>(1+target)^($J488-(MIN(tbl_rep_mon[year])))</f>
        <v>1.3224999999999998</v>
      </c>
      <c r="L488" s="35">
        <f t="shared" si="54"/>
        <v>0.33</v>
      </c>
      <c r="M488" s="37">
        <f t="shared" si="55"/>
        <v>9739.3642500000005</v>
      </c>
    </row>
    <row r="489" spans="1:13" x14ac:dyDescent="0.4">
      <c r="A489" t="s">
        <v>23</v>
      </c>
      <c r="B489">
        <v>1</v>
      </c>
      <c r="C489" s="36">
        <v>111070.76</v>
      </c>
      <c r="D489" s="1">
        <v>44927</v>
      </c>
      <c r="E489" s="35">
        <f t="shared" si="49"/>
        <v>0.6</v>
      </c>
      <c r="F489" s="37">
        <f t="shared" si="50"/>
        <v>55535.38</v>
      </c>
      <c r="G489" s="37">
        <f t="shared" si="51"/>
        <v>33321.227999999996</v>
      </c>
      <c r="H489" s="36" cm="1">
        <f t="array" ref="H489">SUMPRODUCT((C489&gt;tier_floor)*((C489-tier_floor)*step)*margin_rate)</f>
        <v>22196.227999999999</v>
      </c>
      <c r="I489" s="37">
        <f t="shared" si="52"/>
        <v>11124.999999999996</v>
      </c>
      <c r="J489" s="38">
        <f t="shared" si="53"/>
        <v>2023</v>
      </c>
      <c r="K489" s="128">
        <f>(1+target)^($J489-(MIN(tbl_rep_mon[year])))</f>
        <v>1.3224999999999998</v>
      </c>
      <c r="L489" s="35">
        <f t="shared" si="54"/>
        <v>0.51</v>
      </c>
      <c r="M489" s="37">
        <f t="shared" si="55"/>
        <v>28323.043799999999</v>
      </c>
    </row>
    <row r="490" spans="1:13" x14ac:dyDescent="0.4">
      <c r="A490" t="s">
        <v>24</v>
      </c>
      <c r="B490">
        <v>3</v>
      </c>
      <c r="C490" s="36">
        <v>51261.09</v>
      </c>
      <c r="D490" s="1">
        <v>44927</v>
      </c>
      <c r="E490" s="35">
        <f t="shared" si="49"/>
        <v>0.42</v>
      </c>
      <c r="F490" s="37">
        <f t="shared" si="50"/>
        <v>25630.544999999998</v>
      </c>
      <c r="G490" s="37">
        <f t="shared" si="51"/>
        <v>10764.828899999999</v>
      </c>
      <c r="H490" s="36" cm="1">
        <f t="array" ref="H490">SUMPRODUCT((C490&gt;tier_floor)*((C490-tier_floor)*step)*margin_rate)</f>
        <v>7514.8288999999995</v>
      </c>
      <c r="I490" s="37">
        <f t="shared" si="52"/>
        <v>3249.9999999999991</v>
      </c>
      <c r="J490" s="38">
        <f t="shared" si="53"/>
        <v>2023</v>
      </c>
      <c r="K490" s="128">
        <f>(1+target)^($J490-(MIN(tbl_rep_mon[year])))</f>
        <v>1.3224999999999998</v>
      </c>
      <c r="L490" s="35">
        <f t="shared" si="54"/>
        <v>0.33</v>
      </c>
      <c r="M490" s="37">
        <f t="shared" si="55"/>
        <v>8458.0798500000001</v>
      </c>
    </row>
    <row r="491" spans="1:13" x14ac:dyDescent="0.4">
      <c r="A491" t="s">
        <v>25</v>
      </c>
      <c r="B491">
        <v>2</v>
      </c>
      <c r="C491" s="36">
        <v>79123.97</v>
      </c>
      <c r="D491" s="1">
        <v>44927</v>
      </c>
      <c r="E491" s="35">
        <f t="shared" si="49"/>
        <v>0.51</v>
      </c>
      <c r="F491" s="37">
        <f t="shared" si="50"/>
        <v>39561.985000000001</v>
      </c>
      <c r="G491" s="37">
        <f t="shared" si="51"/>
        <v>20176.612349999999</v>
      </c>
      <c r="H491" s="36" cm="1">
        <f t="array" ref="H491">SUMPRODUCT((C491&gt;tier_floor)*((C491-tier_floor)*step)*margin_rate)</f>
        <v>13551.612349999999</v>
      </c>
      <c r="I491" s="37">
        <f t="shared" si="52"/>
        <v>6625</v>
      </c>
      <c r="J491" s="38">
        <f t="shared" si="53"/>
        <v>2023</v>
      </c>
      <c r="K491" s="128">
        <f>(1+target)^($J491-(MIN(tbl_rep_mon[year])))</f>
        <v>1.3224999999999998</v>
      </c>
      <c r="L491" s="35">
        <f t="shared" si="54"/>
        <v>0.42</v>
      </c>
      <c r="M491" s="37">
        <f t="shared" si="55"/>
        <v>16616.0337</v>
      </c>
    </row>
    <row r="492" spans="1:13" x14ac:dyDescent="0.4">
      <c r="A492" t="s">
        <v>26</v>
      </c>
      <c r="B492">
        <v>2</v>
      </c>
      <c r="C492" s="36">
        <v>76416.710000000006</v>
      </c>
      <c r="D492" s="1">
        <v>44927</v>
      </c>
      <c r="E492" s="35">
        <f t="shared" si="49"/>
        <v>0.51</v>
      </c>
      <c r="F492" s="37">
        <f t="shared" si="50"/>
        <v>38208.355000000003</v>
      </c>
      <c r="G492" s="37">
        <f t="shared" si="51"/>
        <v>19486.261050000001</v>
      </c>
      <c r="H492" s="36" cm="1">
        <f t="array" ref="H492">SUMPRODUCT((C492&gt;tier_floor)*((C492-tier_floor)*step)*margin_rate)</f>
        <v>12861.261050000001</v>
      </c>
      <c r="I492" s="37">
        <f t="shared" si="52"/>
        <v>6625</v>
      </c>
      <c r="J492" s="38">
        <f t="shared" si="53"/>
        <v>2023</v>
      </c>
      <c r="K492" s="128">
        <f>(1+target)^($J492-(MIN(tbl_rep_mon[year])))</f>
        <v>1.3224999999999998</v>
      </c>
      <c r="L492" s="35">
        <f t="shared" si="54"/>
        <v>0.42</v>
      </c>
      <c r="M492" s="37">
        <f t="shared" si="55"/>
        <v>16047.509100000001</v>
      </c>
    </row>
    <row r="493" spans="1:13" x14ac:dyDescent="0.4">
      <c r="A493" t="s">
        <v>28</v>
      </c>
      <c r="B493">
        <v>2</v>
      </c>
      <c r="C493" s="36">
        <v>56085.65</v>
      </c>
      <c r="D493" s="1">
        <v>44927</v>
      </c>
      <c r="E493" s="35">
        <f t="shared" si="49"/>
        <v>0.42</v>
      </c>
      <c r="F493" s="37">
        <f t="shared" si="50"/>
        <v>28042.825000000001</v>
      </c>
      <c r="G493" s="37">
        <f t="shared" si="51"/>
        <v>11777.986499999999</v>
      </c>
      <c r="H493" s="36" cm="1">
        <f t="array" ref="H493">SUMPRODUCT((C493&gt;tier_floor)*((C493-tier_floor)*step)*margin_rate)</f>
        <v>8527.9865000000009</v>
      </c>
      <c r="I493" s="37">
        <f t="shared" si="52"/>
        <v>3249.9999999999982</v>
      </c>
      <c r="J493" s="38">
        <f t="shared" si="53"/>
        <v>2023</v>
      </c>
      <c r="K493" s="128">
        <f>(1+target)^($J493-(MIN(tbl_rep_mon[year])))</f>
        <v>1.3224999999999998</v>
      </c>
      <c r="L493" s="35">
        <f t="shared" si="54"/>
        <v>0.33</v>
      </c>
      <c r="M493" s="37">
        <f t="shared" si="55"/>
        <v>9254.1322500000006</v>
      </c>
    </row>
    <row r="494" spans="1:13" x14ac:dyDescent="0.4">
      <c r="A494" t="s">
        <v>29</v>
      </c>
      <c r="B494">
        <v>1</v>
      </c>
      <c r="C494" s="36">
        <v>91892.61</v>
      </c>
      <c r="D494" s="1">
        <v>44927</v>
      </c>
      <c r="E494" s="35">
        <f t="shared" si="49"/>
        <v>0.51</v>
      </c>
      <c r="F494" s="37">
        <f t="shared" si="50"/>
        <v>45946.305</v>
      </c>
      <c r="G494" s="37">
        <f t="shared" si="51"/>
        <v>23432.615550000002</v>
      </c>
      <c r="H494" s="36" cm="1">
        <f t="array" ref="H494">SUMPRODUCT((C494&gt;tier_floor)*((C494-tier_floor)*step)*margin_rate)</f>
        <v>16807.615549999999</v>
      </c>
      <c r="I494" s="37">
        <f t="shared" si="52"/>
        <v>6625.0000000000036</v>
      </c>
      <c r="J494" s="38">
        <f t="shared" si="53"/>
        <v>2023</v>
      </c>
      <c r="K494" s="128">
        <f>(1+target)^($J494-(MIN(tbl_rep_mon[year])))</f>
        <v>1.3224999999999998</v>
      </c>
      <c r="L494" s="35">
        <f t="shared" si="54"/>
        <v>0.42</v>
      </c>
      <c r="M494" s="37">
        <f t="shared" si="55"/>
        <v>19297.448099999998</v>
      </c>
    </row>
    <row r="495" spans="1:13" x14ac:dyDescent="0.4">
      <c r="A495" t="s">
        <v>31</v>
      </c>
      <c r="B495">
        <v>4</v>
      </c>
      <c r="C495" s="36">
        <v>47063.42</v>
      </c>
      <c r="D495" s="1">
        <v>44927</v>
      </c>
      <c r="E495" s="35">
        <f t="shared" si="49"/>
        <v>0.33</v>
      </c>
      <c r="F495" s="37">
        <f t="shared" si="50"/>
        <v>23531.71</v>
      </c>
      <c r="G495" s="37">
        <f t="shared" si="51"/>
        <v>7765.4642999999996</v>
      </c>
      <c r="H495" s="36" cm="1">
        <f t="array" ref="H495">SUMPRODUCT((C495&gt;tier_floor)*((C495-tier_floor)*step)*margin_rate)</f>
        <v>6765.4642999999996</v>
      </c>
      <c r="I495" s="37">
        <f t="shared" si="52"/>
        <v>1000</v>
      </c>
      <c r="J495" s="38">
        <f t="shared" si="53"/>
        <v>2023</v>
      </c>
      <c r="K495" s="128">
        <f>(1+target)^($J495-(MIN(tbl_rep_mon[year])))</f>
        <v>1.3224999999999998</v>
      </c>
      <c r="L495" s="35">
        <f t="shared" si="54"/>
        <v>0.33</v>
      </c>
      <c r="M495" s="37">
        <f t="shared" si="55"/>
        <v>7765.4642999999996</v>
      </c>
    </row>
    <row r="496" spans="1:13" x14ac:dyDescent="0.4">
      <c r="A496" t="s">
        <v>32</v>
      </c>
      <c r="B496">
        <v>4</v>
      </c>
      <c r="C496" s="36">
        <v>72728.539999999994</v>
      </c>
      <c r="D496" s="1">
        <v>44927</v>
      </c>
      <c r="E496" s="35">
        <f t="shared" si="49"/>
        <v>0.42</v>
      </c>
      <c r="F496" s="37">
        <f t="shared" si="50"/>
        <v>36364.269999999997</v>
      </c>
      <c r="G496" s="37">
        <f t="shared" si="51"/>
        <v>15272.993399999998</v>
      </c>
      <c r="H496" s="36" cm="1">
        <f t="array" ref="H496">SUMPRODUCT((C496&gt;tier_floor)*((C496-tier_floor)*step)*margin_rate)</f>
        <v>12022.993399999999</v>
      </c>
      <c r="I496" s="37">
        <f t="shared" si="52"/>
        <v>3249.9999999999982</v>
      </c>
      <c r="J496" s="38">
        <f t="shared" si="53"/>
        <v>2023</v>
      </c>
      <c r="K496" s="128">
        <f>(1+target)^($J496-(MIN(tbl_rep_mon[year])))</f>
        <v>1.3224999999999998</v>
      </c>
      <c r="L496" s="35">
        <f t="shared" si="54"/>
        <v>0.42</v>
      </c>
      <c r="M496" s="37">
        <f t="shared" si="55"/>
        <v>15272.993399999998</v>
      </c>
    </row>
    <row r="497" spans="1:13" x14ac:dyDescent="0.4">
      <c r="A497" t="s">
        <v>33</v>
      </c>
      <c r="B497">
        <v>3</v>
      </c>
      <c r="C497" s="36">
        <v>52021.49</v>
      </c>
      <c r="D497" s="1">
        <v>44927</v>
      </c>
      <c r="E497" s="35">
        <f t="shared" si="49"/>
        <v>0.42</v>
      </c>
      <c r="F497" s="37">
        <f t="shared" si="50"/>
        <v>26010.744999999999</v>
      </c>
      <c r="G497" s="37">
        <f t="shared" si="51"/>
        <v>10924.5129</v>
      </c>
      <c r="H497" s="36" cm="1">
        <f t="array" ref="H497">SUMPRODUCT((C497&gt;tier_floor)*((C497-tier_floor)*step)*margin_rate)</f>
        <v>7674.5129000000006</v>
      </c>
      <c r="I497" s="37">
        <f t="shared" si="52"/>
        <v>3249.9999999999991</v>
      </c>
      <c r="J497" s="38">
        <f t="shared" si="53"/>
        <v>2023</v>
      </c>
      <c r="K497" s="128">
        <f>(1+target)^($J497-(MIN(tbl_rep_mon[year])))</f>
        <v>1.3224999999999998</v>
      </c>
      <c r="L497" s="35">
        <f t="shared" si="54"/>
        <v>0.33</v>
      </c>
      <c r="M497" s="37">
        <f t="shared" si="55"/>
        <v>8583.5458500000004</v>
      </c>
    </row>
    <row r="498" spans="1:13" x14ac:dyDescent="0.4">
      <c r="A498" t="s">
        <v>34</v>
      </c>
      <c r="B498">
        <v>4</v>
      </c>
      <c r="C498" s="36">
        <v>70162.09</v>
      </c>
      <c r="D498" s="1">
        <v>44927</v>
      </c>
      <c r="E498" s="35">
        <f t="shared" si="49"/>
        <v>0.42</v>
      </c>
      <c r="F498" s="37">
        <f t="shared" si="50"/>
        <v>35081.044999999998</v>
      </c>
      <c r="G498" s="37">
        <f t="shared" si="51"/>
        <v>14734.0389</v>
      </c>
      <c r="H498" s="36" cm="1">
        <f t="array" ref="H498">SUMPRODUCT((C498&gt;tier_floor)*((C498-tier_floor)*step)*margin_rate)</f>
        <v>11484.0389</v>
      </c>
      <c r="I498" s="37">
        <f t="shared" si="52"/>
        <v>3250</v>
      </c>
      <c r="J498" s="38">
        <f t="shared" si="53"/>
        <v>2023</v>
      </c>
      <c r="K498" s="128">
        <f>(1+target)^($J498-(MIN(tbl_rep_mon[year])))</f>
        <v>1.3224999999999998</v>
      </c>
      <c r="L498" s="35">
        <f t="shared" si="54"/>
        <v>0.42</v>
      </c>
      <c r="M498" s="37">
        <f t="shared" si="55"/>
        <v>14734.0389</v>
      </c>
    </row>
    <row r="499" spans="1:13" x14ac:dyDescent="0.4">
      <c r="A499" t="s">
        <v>35</v>
      </c>
      <c r="B499">
        <v>4</v>
      </c>
      <c r="C499" s="36">
        <v>49281.13</v>
      </c>
      <c r="D499" s="1">
        <v>44927</v>
      </c>
      <c r="E499" s="35">
        <f t="shared" si="49"/>
        <v>0.33</v>
      </c>
      <c r="F499" s="37">
        <f t="shared" si="50"/>
        <v>24640.564999999999</v>
      </c>
      <c r="G499" s="37">
        <f t="shared" si="51"/>
        <v>8131.38645</v>
      </c>
      <c r="H499" s="36" cm="1">
        <f t="array" ref="H499">SUMPRODUCT((C499&gt;tier_floor)*((C499-tier_floor)*step)*margin_rate)</f>
        <v>7131.38645</v>
      </c>
      <c r="I499" s="37">
        <f t="shared" si="52"/>
        <v>1000</v>
      </c>
      <c r="J499" s="38">
        <f t="shared" si="53"/>
        <v>2023</v>
      </c>
      <c r="K499" s="128">
        <f>(1+target)^($J499-(MIN(tbl_rep_mon[year])))</f>
        <v>1.3224999999999998</v>
      </c>
      <c r="L499" s="35">
        <f t="shared" si="54"/>
        <v>0.33</v>
      </c>
      <c r="M499" s="37">
        <f t="shared" si="55"/>
        <v>8131.38645</v>
      </c>
    </row>
    <row r="500" spans="1:13" x14ac:dyDescent="0.4">
      <c r="A500" t="s">
        <v>36</v>
      </c>
      <c r="B500">
        <v>2</v>
      </c>
      <c r="C500" s="36">
        <v>80183.59</v>
      </c>
      <c r="D500" s="1">
        <v>44927</v>
      </c>
      <c r="E500" s="35">
        <f t="shared" si="49"/>
        <v>0.51</v>
      </c>
      <c r="F500" s="37">
        <f t="shared" si="50"/>
        <v>40091.794999999998</v>
      </c>
      <c r="G500" s="37">
        <f t="shared" si="51"/>
        <v>20446.815449999998</v>
      </c>
      <c r="H500" s="36" cm="1">
        <f t="array" ref="H500">SUMPRODUCT((C500&gt;tier_floor)*((C500-tier_floor)*step)*margin_rate)</f>
        <v>13821.815449999998</v>
      </c>
      <c r="I500" s="37">
        <f t="shared" si="52"/>
        <v>6625</v>
      </c>
      <c r="J500" s="38">
        <f t="shared" si="53"/>
        <v>2023</v>
      </c>
      <c r="K500" s="128">
        <f>(1+target)^($J500-(MIN(tbl_rep_mon[year])))</f>
        <v>1.3224999999999998</v>
      </c>
      <c r="L500" s="35">
        <f t="shared" si="54"/>
        <v>0.42</v>
      </c>
      <c r="M500" s="37">
        <f t="shared" si="55"/>
        <v>16838.553899999999</v>
      </c>
    </row>
    <row r="501" spans="1:13" x14ac:dyDescent="0.4">
      <c r="A501" t="s">
        <v>37</v>
      </c>
      <c r="B501">
        <v>4</v>
      </c>
      <c r="C501" s="36">
        <v>65972.31</v>
      </c>
      <c r="D501" s="1">
        <v>44927</v>
      </c>
      <c r="E501" s="35">
        <f t="shared" si="49"/>
        <v>0.42</v>
      </c>
      <c r="F501" s="37">
        <f t="shared" si="50"/>
        <v>32986.154999999999</v>
      </c>
      <c r="G501" s="37">
        <f t="shared" si="51"/>
        <v>13854.185099999999</v>
      </c>
      <c r="H501" s="36" cm="1">
        <f t="array" ref="H501">SUMPRODUCT((C501&gt;tier_floor)*((C501-tier_floor)*step)*margin_rate)</f>
        <v>10604.185100000001</v>
      </c>
      <c r="I501" s="37">
        <f t="shared" si="52"/>
        <v>3249.9999999999982</v>
      </c>
      <c r="J501" s="38">
        <f t="shared" si="53"/>
        <v>2023</v>
      </c>
      <c r="K501" s="128">
        <f>(1+target)^($J501-(MIN(tbl_rep_mon[year])))</f>
        <v>1.3224999999999998</v>
      </c>
      <c r="L501" s="35">
        <f t="shared" si="54"/>
        <v>0.33</v>
      </c>
      <c r="M501" s="37">
        <f t="shared" si="55"/>
        <v>10885.43115</v>
      </c>
    </row>
    <row r="502" spans="1:13" x14ac:dyDescent="0.4">
      <c r="A502" t="s">
        <v>6</v>
      </c>
      <c r="B502">
        <v>2</v>
      </c>
      <c r="C502" s="36">
        <v>69880.009999999995</v>
      </c>
      <c r="D502" s="1">
        <v>44958</v>
      </c>
      <c r="E502" s="35">
        <f t="shared" si="49"/>
        <v>0.42</v>
      </c>
      <c r="F502" s="37">
        <f t="shared" si="50"/>
        <v>34940.004999999997</v>
      </c>
      <c r="G502" s="37">
        <f t="shared" si="51"/>
        <v>14674.802099999999</v>
      </c>
      <c r="H502" s="36" cm="1">
        <f t="array" ref="H502">SUMPRODUCT((C502&gt;tier_floor)*((C502-tier_floor)*step)*margin_rate)</f>
        <v>11424.802099999999</v>
      </c>
      <c r="I502" s="37">
        <f t="shared" si="52"/>
        <v>3250</v>
      </c>
      <c r="J502" s="38">
        <f t="shared" si="53"/>
        <v>2023</v>
      </c>
      <c r="K502" s="128">
        <f>(1+target)^($J502-(MIN(tbl_rep_mon[year])))</f>
        <v>1.3224999999999998</v>
      </c>
      <c r="L502" s="35">
        <f t="shared" si="54"/>
        <v>0.42</v>
      </c>
      <c r="M502" s="37">
        <f t="shared" si="55"/>
        <v>14674.802099999999</v>
      </c>
    </row>
    <row r="503" spans="1:13" x14ac:dyDescent="0.4">
      <c r="A503" t="s">
        <v>7</v>
      </c>
      <c r="B503">
        <v>4</v>
      </c>
      <c r="C503" s="36">
        <v>48356.46</v>
      </c>
      <c r="D503" s="1">
        <v>44958</v>
      </c>
      <c r="E503" s="35">
        <f t="shared" si="49"/>
        <v>0.33</v>
      </c>
      <c r="F503" s="37">
        <f t="shared" si="50"/>
        <v>24178.23</v>
      </c>
      <c r="G503" s="37">
        <f t="shared" si="51"/>
        <v>7978.8159000000005</v>
      </c>
      <c r="H503" s="36" cm="1">
        <f t="array" ref="H503">SUMPRODUCT((C503&gt;tier_floor)*((C503-tier_floor)*step)*margin_rate)</f>
        <v>6978.8158999999996</v>
      </c>
      <c r="I503" s="37">
        <f t="shared" si="52"/>
        <v>1000.0000000000009</v>
      </c>
      <c r="J503" s="38">
        <f t="shared" si="53"/>
        <v>2023</v>
      </c>
      <c r="K503" s="128">
        <f>(1+target)^($J503-(MIN(tbl_rep_mon[year])))</f>
        <v>1.3224999999999998</v>
      </c>
      <c r="L503" s="35">
        <f t="shared" si="54"/>
        <v>0.33</v>
      </c>
      <c r="M503" s="37">
        <f t="shared" si="55"/>
        <v>7978.8159000000005</v>
      </c>
    </row>
    <row r="504" spans="1:13" x14ac:dyDescent="0.4">
      <c r="A504" t="s">
        <v>8</v>
      </c>
      <c r="B504">
        <v>4</v>
      </c>
      <c r="C504" s="36">
        <v>56013.22</v>
      </c>
      <c r="D504" s="1">
        <v>44958</v>
      </c>
      <c r="E504" s="35">
        <f t="shared" si="49"/>
        <v>0.42</v>
      </c>
      <c r="F504" s="37">
        <f t="shared" si="50"/>
        <v>28006.61</v>
      </c>
      <c r="G504" s="37">
        <f t="shared" si="51"/>
        <v>11762.7762</v>
      </c>
      <c r="H504" s="36" cm="1">
        <f t="array" ref="H504">SUMPRODUCT((C504&gt;tier_floor)*((C504-tier_floor)*step)*margin_rate)</f>
        <v>8512.7762000000002</v>
      </c>
      <c r="I504" s="37">
        <f t="shared" si="52"/>
        <v>3250</v>
      </c>
      <c r="J504" s="38">
        <f t="shared" si="53"/>
        <v>2023</v>
      </c>
      <c r="K504" s="128">
        <f>(1+target)^($J504-(MIN(tbl_rep_mon[year])))</f>
        <v>1.3224999999999998</v>
      </c>
      <c r="L504" s="35">
        <f t="shared" si="54"/>
        <v>0.33</v>
      </c>
      <c r="M504" s="37">
        <f t="shared" si="55"/>
        <v>9242.1813000000002</v>
      </c>
    </row>
    <row r="505" spans="1:13" x14ac:dyDescent="0.4">
      <c r="A505" t="s">
        <v>15</v>
      </c>
      <c r="B505">
        <v>3</v>
      </c>
      <c r="C505" s="36">
        <v>77464.740000000005</v>
      </c>
      <c r="D505" s="1">
        <v>44958</v>
      </c>
      <c r="E505" s="35">
        <f t="shared" si="49"/>
        <v>0.51</v>
      </c>
      <c r="F505" s="37">
        <f t="shared" si="50"/>
        <v>38732.370000000003</v>
      </c>
      <c r="G505" s="37">
        <f t="shared" si="51"/>
        <v>19753.508700000002</v>
      </c>
      <c r="H505" s="36" cm="1">
        <f t="array" ref="H505">SUMPRODUCT((C505&gt;tier_floor)*((C505-tier_floor)*step)*margin_rate)</f>
        <v>13128.508700000002</v>
      </c>
      <c r="I505" s="37">
        <f t="shared" si="52"/>
        <v>6625</v>
      </c>
      <c r="J505" s="38">
        <f t="shared" si="53"/>
        <v>2023</v>
      </c>
      <c r="K505" s="128">
        <f>(1+target)^($J505-(MIN(tbl_rep_mon[year])))</f>
        <v>1.3224999999999998</v>
      </c>
      <c r="L505" s="35">
        <f t="shared" si="54"/>
        <v>0.42</v>
      </c>
      <c r="M505" s="37">
        <f t="shared" si="55"/>
        <v>16267.5954</v>
      </c>
    </row>
    <row r="506" spans="1:13" x14ac:dyDescent="0.4">
      <c r="A506" t="s">
        <v>16</v>
      </c>
      <c r="B506">
        <v>3</v>
      </c>
      <c r="C506" s="36">
        <v>84175.41</v>
      </c>
      <c r="D506" s="1">
        <v>44958</v>
      </c>
      <c r="E506" s="35">
        <f t="shared" si="49"/>
        <v>0.51</v>
      </c>
      <c r="F506" s="37">
        <f t="shared" si="50"/>
        <v>42087.705000000002</v>
      </c>
      <c r="G506" s="37">
        <f t="shared" si="51"/>
        <v>21464.72955</v>
      </c>
      <c r="H506" s="36" cm="1">
        <f t="array" ref="H506">SUMPRODUCT((C506&gt;tier_floor)*((C506-tier_floor)*step)*margin_rate)</f>
        <v>14839.72955</v>
      </c>
      <c r="I506" s="37">
        <f t="shared" si="52"/>
        <v>6625</v>
      </c>
      <c r="J506" s="38">
        <f t="shared" si="53"/>
        <v>2023</v>
      </c>
      <c r="K506" s="128">
        <f>(1+target)^($J506-(MIN(tbl_rep_mon[year])))</f>
        <v>1.3224999999999998</v>
      </c>
      <c r="L506" s="35">
        <f t="shared" si="54"/>
        <v>0.42</v>
      </c>
      <c r="M506" s="37">
        <f t="shared" si="55"/>
        <v>17676.8361</v>
      </c>
    </row>
    <row r="507" spans="1:13" x14ac:dyDescent="0.4">
      <c r="A507" t="s">
        <v>18</v>
      </c>
      <c r="B507">
        <v>3</v>
      </c>
      <c r="C507" s="36">
        <v>72495.61</v>
      </c>
      <c r="D507" s="1">
        <v>44958</v>
      </c>
      <c r="E507" s="35">
        <f t="shared" si="49"/>
        <v>0.42</v>
      </c>
      <c r="F507" s="37">
        <f t="shared" si="50"/>
        <v>36247.805</v>
      </c>
      <c r="G507" s="37">
        <f t="shared" si="51"/>
        <v>15224.078099999999</v>
      </c>
      <c r="H507" s="36" cm="1">
        <f t="array" ref="H507">SUMPRODUCT((C507&gt;tier_floor)*((C507-tier_floor)*step)*margin_rate)</f>
        <v>11974.078099999999</v>
      </c>
      <c r="I507" s="37">
        <f t="shared" si="52"/>
        <v>3250</v>
      </c>
      <c r="J507" s="38">
        <f t="shared" si="53"/>
        <v>2023</v>
      </c>
      <c r="K507" s="128">
        <f>(1+target)^($J507-(MIN(tbl_rep_mon[year])))</f>
        <v>1.3224999999999998</v>
      </c>
      <c r="L507" s="35">
        <f t="shared" si="54"/>
        <v>0.42</v>
      </c>
      <c r="M507" s="37">
        <f t="shared" si="55"/>
        <v>15224.078099999999</v>
      </c>
    </row>
    <row r="508" spans="1:13" x14ac:dyDescent="0.4">
      <c r="A508" t="s">
        <v>19</v>
      </c>
      <c r="B508">
        <v>4</v>
      </c>
      <c r="C508" s="36">
        <v>65071.69</v>
      </c>
      <c r="D508" s="1">
        <v>44958</v>
      </c>
      <c r="E508" s="35">
        <f t="shared" si="49"/>
        <v>0.42</v>
      </c>
      <c r="F508" s="37">
        <f t="shared" si="50"/>
        <v>32535.845000000001</v>
      </c>
      <c r="G508" s="37">
        <f t="shared" si="51"/>
        <v>13665.054899999999</v>
      </c>
      <c r="H508" s="36" cm="1">
        <f t="array" ref="H508">SUMPRODUCT((C508&gt;tier_floor)*((C508-tier_floor)*step)*margin_rate)</f>
        <v>10415.054900000001</v>
      </c>
      <c r="I508" s="37">
        <f t="shared" si="52"/>
        <v>3249.9999999999982</v>
      </c>
      <c r="J508" s="38">
        <f t="shared" si="53"/>
        <v>2023</v>
      </c>
      <c r="K508" s="128">
        <f>(1+target)^($J508-(MIN(tbl_rep_mon[year])))</f>
        <v>1.3224999999999998</v>
      </c>
      <c r="L508" s="35">
        <f t="shared" si="54"/>
        <v>0.33</v>
      </c>
      <c r="M508" s="37">
        <f t="shared" si="55"/>
        <v>10736.828850000002</v>
      </c>
    </row>
    <row r="509" spans="1:13" x14ac:dyDescent="0.4">
      <c r="A509" t="s">
        <v>23</v>
      </c>
      <c r="B509">
        <v>1</v>
      </c>
      <c r="C509" s="36">
        <v>98089.37</v>
      </c>
      <c r="D509" s="1">
        <v>44958</v>
      </c>
      <c r="E509" s="35">
        <f t="shared" si="49"/>
        <v>0.51</v>
      </c>
      <c r="F509" s="37">
        <f t="shared" si="50"/>
        <v>49044.684999999998</v>
      </c>
      <c r="G509" s="37">
        <f t="shared" si="51"/>
        <v>25012.789349999999</v>
      </c>
      <c r="H509" s="36" cm="1">
        <f t="array" ref="H509">SUMPRODUCT((C509&gt;tier_floor)*((C509-tier_floor)*step)*margin_rate)</f>
        <v>18387.789349999999</v>
      </c>
      <c r="I509" s="37">
        <f t="shared" si="52"/>
        <v>6625</v>
      </c>
      <c r="J509" s="38">
        <f t="shared" si="53"/>
        <v>2023</v>
      </c>
      <c r="K509" s="128">
        <f>(1+target)^($J509-(MIN(tbl_rep_mon[year])))</f>
        <v>1.3224999999999998</v>
      </c>
      <c r="L509" s="35">
        <f t="shared" si="54"/>
        <v>0.42</v>
      </c>
      <c r="M509" s="37">
        <f t="shared" si="55"/>
        <v>20598.767699999997</v>
      </c>
    </row>
    <row r="510" spans="1:13" x14ac:dyDescent="0.4">
      <c r="A510" t="s">
        <v>24</v>
      </c>
      <c r="B510">
        <v>3</v>
      </c>
      <c r="C510" s="36">
        <v>56368.46</v>
      </c>
      <c r="D510" s="1">
        <v>44958</v>
      </c>
      <c r="E510" s="35">
        <f t="shared" si="49"/>
        <v>0.42</v>
      </c>
      <c r="F510" s="37">
        <f t="shared" si="50"/>
        <v>28184.23</v>
      </c>
      <c r="G510" s="37">
        <f t="shared" si="51"/>
        <v>11837.3766</v>
      </c>
      <c r="H510" s="36" cm="1">
        <f t="array" ref="H510">SUMPRODUCT((C510&gt;tier_floor)*((C510-tier_floor)*step)*margin_rate)</f>
        <v>8587.3766000000014</v>
      </c>
      <c r="I510" s="37">
        <f t="shared" si="52"/>
        <v>3249.9999999999982</v>
      </c>
      <c r="J510" s="38">
        <f t="shared" si="53"/>
        <v>2023</v>
      </c>
      <c r="K510" s="128">
        <f>(1+target)^($J510-(MIN(tbl_rep_mon[year])))</f>
        <v>1.3224999999999998</v>
      </c>
      <c r="L510" s="35">
        <f t="shared" si="54"/>
        <v>0.33</v>
      </c>
      <c r="M510" s="37">
        <f t="shared" si="55"/>
        <v>9300.795900000001</v>
      </c>
    </row>
    <row r="511" spans="1:13" x14ac:dyDescent="0.4">
      <c r="A511" t="s">
        <v>25</v>
      </c>
      <c r="B511">
        <v>2</v>
      </c>
      <c r="C511" s="36">
        <v>73648.02</v>
      </c>
      <c r="D511" s="1">
        <v>44958</v>
      </c>
      <c r="E511" s="35">
        <f t="shared" si="49"/>
        <v>0.42</v>
      </c>
      <c r="F511" s="37">
        <f t="shared" si="50"/>
        <v>36824.01</v>
      </c>
      <c r="G511" s="37">
        <f t="shared" si="51"/>
        <v>15466.084200000001</v>
      </c>
      <c r="H511" s="36" cm="1">
        <f t="array" ref="H511">SUMPRODUCT((C511&gt;tier_floor)*((C511-tier_floor)*step)*margin_rate)</f>
        <v>12216.084200000001</v>
      </c>
      <c r="I511" s="37">
        <f t="shared" si="52"/>
        <v>3250</v>
      </c>
      <c r="J511" s="38">
        <f t="shared" si="53"/>
        <v>2023</v>
      </c>
      <c r="K511" s="128">
        <f>(1+target)^($J511-(MIN(tbl_rep_mon[year])))</f>
        <v>1.3224999999999998</v>
      </c>
      <c r="L511" s="35">
        <f t="shared" si="54"/>
        <v>0.42</v>
      </c>
      <c r="M511" s="37">
        <f t="shared" si="55"/>
        <v>15466.084200000001</v>
      </c>
    </row>
    <row r="512" spans="1:13" x14ac:dyDescent="0.4">
      <c r="A512" t="s">
        <v>26</v>
      </c>
      <c r="B512">
        <v>2</v>
      </c>
      <c r="C512" s="36">
        <v>88469.73</v>
      </c>
      <c r="D512" s="1">
        <v>44958</v>
      </c>
      <c r="E512" s="35">
        <f t="shared" si="49"/>
        <v>0.51</v>
      </c>
      <c r="F512" s="37">
        <f t="shared" si="50"/>
        <v>44234.864999999998</v>
      </c>
      <c r="G512" s="37">
        <f t="shared" si="51"/>
        <v>22559.781149999999</v>
      </c>
      <c r="H512" s="36" cm="1">
        <f t="array" ref="H512">SUMPRODUCT((C512&gt;tier_floor)*((C512-tier_floor)*step)*margin_rate)</f>
        <v>15934.781149999999</v>
      </c>
      <c r="I512" s="37">
        <f t="shared" si="52"/>
        <v>6625</v>
      </c>
      <c r="J512" s="38">
        <f t="shared" si="53"/>
        <v>2023</v>
      </c>
      <c r="K512" s="128">
        <f>(1+target)^($J512-(MIN(tbl_rep_mon[year])))</f>
        <v>1.3224999999999998</v>
      </c>
      <c r="L512" s="35">
        <f t="shared" si="54"/>
        <v>0.42</v>
      </c>
      <c r="M512" s="37">
        <f t="shared" si="55"/>
        <v>18578.6433</v>
      </c>
    </row>
    <row r="513" spans="1:13" x14ac:dyDescent="0.4">
      <c r="A513" t="s">
        <v>28</v>
      </c>
      <c r="B513">
        <v>2</v>
      </c>
      <c r="C513" s="36">
        <v>37291.480000000003</v>
      </c>
      <c r="D513" s="1">
        <v>44958</v>
      </c>
      <c r="E513" s="35">
        <f t="shared" si="49"/>
        <v>0.33</v>
      </c>
      <c r="F513" s="37">
        <f t="shared" si="50"/>
        <v>18645.740000000002</v>
      </c>
      <c r="G513" s="37">
        <f t="shared" si="51"/>
        <v>6153.0942000000005</v>
      </c>
      <c r="H513" s="36" cm="1">
        <f t="array" ref="H513">SUMPRODUCT((C513&gt;tier_floor)*((C513-tier_floor)*step)*margin_rate)</f>
        <v>5153.0942000000005</v>
      </c>
      <c r="I513" s="37">
        <f t="shared" si="52"/>
        <v>1000</v>
      </c>
      <c r="J513" s="38">
        <f t="shared" si="53"/>
        <v>2023</v>
      </c>
      <c r="K513" s="128">
        <f>(1+target)^($J513-(MIN(tbl_rep_mon[year])))</f>
        <v>1.3224999999999998</v>
      </c>
      <c r="L513" s="35">
        <f t="shared" si="54"/>
        <v>0.33</v>
      </c>
      <c r="M513" s="37">
        <f t="shared" si="55"/>
        <v>6153.0942000000005</v>
      </c>
    </row>
    <row r="514" spans="1:13" x14ac:dyDescent="0.4">
      <c r="A514" t="s">
        <v>29</v>
      </c>
      <c r="B514">
        <v>1</v>
      </c>
      <c r="C514" s="36">
        <v>93369.3</v>
      </c>
      <c r="D514" s="1">
        <v>44958</v>
      </c>
      <c r="E514" s="35">
        <f t="shared" ref="E514:E577" si="56">_xlfn.XLOOKUP(C514,tier_floor,tier_rate,,-1)</f>
        <v>0.51</v>
      </c>
      <c r="F514" s="37">
        <f t="shared" ref="F514:F577" si="57">C514*margin_rate</f>
        <v>46684.65</v>
      </c>
      <c r="G514" s="37">
        <f t="shared" ref="G514:G577" si="58">F514*E514</f>
        <v>23809.1715</v>
      </c>
      <c r="H514" s="36" cm="1">
        <f t="array" ref="H514">SUMPRODUCT((C514&gt;tier_floor)*((C514-tier_floor)*step)*margin_rate)</f>
        <v>17184.1715</v>
      </c>
      <c r="I514" s="37">
        <f t="shared" ref="I514:I577" si="59">G514-H514</f>
        <v>6625</v>
      </c>
      <c r="J514" s="38">
        <f t="shared" ref="J514:J577" si="60">YEAR(D514)</f>
        <v>2023</v>
      </c>
      <c r="K514" s="128">
        <f>(1+target)^($J514-(MIN(tbl_rep_mon[year])))</f>
        <v>1.3224999999999998</v>
      </c>
      <c r="L514" s="35">
        <f t="shared" ref="L514:L577" si="61">_xlfn.XLOOKUP(($C514/$K514),tier_floor,tier_rate,,-1)</f>
        <v>0.42</v>
      </c>
      <c r="M514" s="37">
        <f t="shared" ref="M514:M577" si="62">$F514*$L514</f>
        <v>19607.553</v>
      </c>
    </row>
    <row r="515" spans="1:13" x14ac:dyDescent="0.4">
      <c r="A515" t="s">
        <v>31</v>
      </c>
      <c r="B515">
        <v>4</v>
      </c>
      <c r="C515" s="36">
        <v>47051.11</v>
      </c>
      <c r="D515" s="1">
        <v>44958</v>
      </c>
      <c r="E515" s="35">
        <f t="shared" si="56"/>
        <v>0.33</v>
      </c>
      <c r="F515" s="37">
        <f t="shared" si="57"/>
        <v>23525.555</v>
      </c>
      <c r="G515" s="37">
        <f t="shared" si="58"/>
        <v>7763.4331500000008</v>
      </c>
      <c r="H515" s="36" cm="1">
        <f t="array" ref="H515">SUMPRODUCT((C515&gt;tier_floor)*((C515-tier_floor)*step)*margin_rate)</f>
        <v>6763.4331500000008</v>
      </c>
      <c r="I515" s="37">
        <f t="shared" si="59"/>
        <v>1000</v>
      </c>
      <c r="J515" s="38">
        <f t="shared" si="60"/>
        <v>2023</v>
      </c>
      <c r="K515" s="128">
        <f>(1+target)^($J515-(MIN(tbl_rep_mon[year])))</f>
        <v>1.3224999999999998</v>
      </c>
      <c r="L515" s="35">
        <f t="shared" si="61"/>
        <v>0.33</v>
      </c>
      <c r="M515" s="37">
        <f t="shared" si="62"/>
        <v>7763.4331500000008</v>
      </c>
    </row>
    <row r="516" spans="1:13" x14ac:dyDescent="0.4">
      <c r="A516" t="s">
        <v>32</v>
      </c>
      <c r="B516">
        <v>4</v>
      </c>
      <c r="C516" s="36">
        <v>64081.8</v>
      </c>
      <c r="D516" s="1">
        <v>44958</v>
      </c>
      <c r="E516" s="35">
        <f t="shared" si="56"/>
        <v>0.42</v>
      </c>
      <c r="F516" s="37">
        <f t="shared" si="57"/>
        <v>32040.9</v>
      </c>
      <c r="G516" s="37">
        <f t="shared" si="58"/>
        <v>13457.178</v>
      </c>
      <c r="H516" s="36" cm="1">
        <f t="array" ref="H516">SUMPRODUCT((C516&gt;tier_floor)*((C516-tier_floor)*step)*margin_rate)</f>
        <v>10207.178000000002</v>
      </c>
      <c r="I516" s="37">
        <f t="shared" si="59"/>
        <v>3249.9999999999982</v>
      </c>
      <c r="J516" s="38">
        <f t="shared" si="60"/>
        <v>2023</v>
      </c>
      <c r="K516" s="128">
        <f>(1+target)^($J516-(MIN(tbl_rep_mon[year])))</f>
        <v>1.3224999999999998</v>
      </c>
      <c r="L516" s="35">
        <f t="shared" si="61"/>
        <v>0.33</v>
      </c>
      <c r="M516" s="37">
        <f t="shared" si="62"/>
        <v>10573.497000000001</v>
      </c>
    </row>
    <row r="517" spans="1:13" x14ac:dyDescent="0.4">
      <c r="A517" t="s">
        <v>33</v>
      </c>
      <c r="B517">
        <v>3</v>
      </c>
      <c r="C517" s="36">
        <v>62840.73</v>
      </c>
      <c r="D517" s="1">
        <v>44958</v>
      </c>
      <c r="E517" s="35">
        <f t="shared" si="56"/>
        <v>0.42</v>
      </c>
      <c r="F517" s="37">
        <f t="shared" si="57"/>
        <v>31420.365000000002</v>
      </c>
      <c r="G517" s="37">
        <f t="shared" si="58"/>
        <v>13196.5533</v>
      </c>
      <c r="H517" s="36" cm="1">
        <f t="array" ref="H517">SUMPRODUCT((C517&gt;tier_floor)*((C517-tier_floor)*step)*margin_rate)</f>
        <v>9946.5533000000014</v>
      </c>
      <c r="I517" s="37">
        <f t="shared" si="59"/>
        <v>3249.9999999999982</v>
      </c>
      <c r="J517" s="38">
        <f t="shared" si="60"/>
        <v>2023</v>
      </c>
      <c r="K517" s="128">
        <f>(1+target)^($J517-(MIN(tbl_rep_mon[year])))</f>
        <v>1.3224999999999998</v>
      </c>
      <c r="L517" s="35">
        <f t="shared" si="61"/>
        <v>0.33</v>
      </c>
      <c r="M517" s="37">
        <f t="shared" si="62"/>
        <v>10368.720450000001</v>
      </c>
    </row>
    <row r="518" spans="1:13" x14ac:dyDescent="0.4">
      <c r="A518" t="s">
        <v>34</v>
      </c>
      <c r="B518">
        <v>4</v>
      </c>
      <c r="C518" s="36">
        <v>65505.99</v>
      </c>
      <c r="D518" s="1">
        <v>44958</v>
      </c>
      <c r="E518" s="35">
        <f t="shared" si="56"/>
        <v>0.42</v>
      </c>
      <c r="F518" s="37">
        <f t="shared" si="57"/>
        <v>32752.994999999999</v>
      </c>
      <c r="G518" s="37">
        <f t="shared" si="58"/>
        <v>13756.257899999999</v>
      </c>
      <c r="H518" s="36" cm="1">
        <f t="array" ref="H518">SUMPRODUCT((C518&gt;tier_floor)*((C518-tier_floor)*step)*margin_rate)</f>
        <v>10506.257899999999</v>
      </c>
      <c r="I518" s="37">
        <f t="shared" si="59"/>
        <v>3250</v>
      </c>
      <c r="J518" s="38">
        <f t="shared" si="60"/>
        <v>2023</v>
      </c>
      <c r="K518" s="128">
        <f>(1+target)^($J518-(MIN(tbl_rep_mon[year])))</f>
        <v>1.3224999999999998</v>
      </c>
      <c r="L518" s="35">
        <f t="shared" si="61"/>
        <v>0.33</v>
      </c>
      <c r="M518" s="37">
        <f t="shared" si="62"/>
        <v>10808.48835</v>
      </c>
    </row>
    <row r="519" spans="1:13" x14ac:dyDescent="0.4">
      <c r="A519" t="s">
        <v>35</v>
      </c>
      <c r="B519">
        <v>4</v>
      </c>
      <c r="C519" s="36">
        <v>56502.52</v>
      </c>
      <c r="D519" s="1">
        <v>44958</v>
      </c>
      <c r="E519" s="35">
        <f t="shared" si="56"/>
        <v>0.42</v>
      </c>
      <c r="F519" s="37">
        <f t="shared" si="57"/>
        <v>28251.26</v>
      </c>
      <c r="G519" s="37">
        <f t="shared" si="58"/>
        <v>11865.529199999999</v>
      </c>
      <c r="H519" s="36" cm="1">
        <f t="array" ref="H519">SUMPRODUCT((C519&gt;tier_floor)*((C519-tier_floor)*step)*margin_rate)</f>
        <v>8615.529199999999</v>
      </c>
      <c r="I519" s="37">
        <f t="shared" si="59"/>
        <v>3250</v>
      </c>
      <c r="J519" s="38">
        <f t="shared" si="60"/>
        <v>2023</v>
      </c>
      <c r="K519" s="128">
        <f>(1+target)^($J519-(MIN(tbl_rep_mon[year])))</f>
        <v>1.3224999999999998</v>
      </c>
      <c r="L519" s="35">
        <f t="shared" si="61"/>
        <v>0.33</v>
      </c>
      <c r="M519" s="37">
        <f t="shared" si="62"/>
        <v>9322.9158000000007</v>
      </c>
    </row>
    <row r="520" spans="1:13" x14ac:dyDescent="0.4">
      <c r="A520" t="s">
        <v>36</v>
      </c>
      <c r="B520">
        <v>2</v>
      </c>
      <c r="C520" s="36">
        <v>69161.289999999994</v>
      </c>
      <c r="D520" s="1">
        <v>44958</v>
      </c>
      <c r="E520" s="35">
        <f t="shared" si="56"/>
        <v>0.42</v>
      </c>
      <c r="F520" s="37">
        <f t="shared" si="57"/>
        <v>34580.644999999997</v>
      </c>
      <c r="G520" s="37">
        <f t="shared" si="58"/>
        <v>14523.870899999998</v>
      </c>
      <c r="H520" s="36" cm="1">
        <f t="array" ref="H520">SUMPRODUCT((C520&gt;tier_floor)*((C520-tier_floor)*step)*margin_rate)</f>
        <v>11273.870899999998</v>
      </c>
      <c r="I520" s="37">
        <f t="shared" si="59"/>
        <v>3250</v>
      </c>
      <c r="J520" s="38">
        <f t="shared" si="60"/>
        <v>2023</v>
      </c>
      <c r="K520" s="128">
        <f>(1+target)^($J520-(MIN(tbl_rep_mon[year])))</f>
        <v>1.3224999999999998</v>
      </c>
      <c r="L520" s="35">
        <f t="shared" si="61"/>
        <v>0.42</v>
      </c>
      <c r="M520" s="37">
        <f t="shared" si="62"/>
        <v>14523.870899999998</v>
      </c>
    </row>
    <row r="521" spans="1:13" x14ac:dyDescent="0.4">
      <c r="A521" t="s">
        <v>37</v>
      </c>
      <c r="B521">
        <v>4</v>
      </c>
      <c r="C521" s="36">
        <v>68141.960000000006</v>
      </c>
      <c r="D521" s="1">
        <v>44958</v>
      </c>
      <c r="E521" s="35">
        <f t="shared" si="56"/>
        <v>0.42</v>
      </c>
      <c r="F521" s="37">
        <f t="shared" si="57"/>
        <v>34070.980000000003</v>
      </c>
      <c r="G521" s="37">
        <f t="shared" si="58"/>
        <v>14309.811600000001</v>
      </c>
      <c r="H521" s="36" cm="1">
        <f t="array" ref="H521">SUMPRODUCT((C521&gt;tier_floor)*((C521-tier_floor)*step)*margin_rate)</f>
        <v>11059.811600000001</v>
      </c>
      <c r="I521" s="37">
        <f t="shared" si="59"/>
        <v>3250</v>
      </c>
      <c r="J521" s="38">
        <f t="shared" si="60"/>
        <v>2023</v>
      </c>
      <c r="K521" s="128">
        <f>(1+target)^($J521-(MIN(tbl_rep_mon[year])))</f>
        <v>1.3224999999999998</v>
      </c>
      <c r="L521" s="35">
        <f t="shared" si="61"/>
        <v>0.42</v>
      </c>
      <c r="M521" s="37">
        <f t="shared" si="62"/>
        <v>14309.811600000001</v>
      </c>
    </row>
    <row r="522" spans="1:13" x14ac:dyDescent="0.4">
      <c r="A522" t="s">
        <v>6</v>
      </c>
      <c r="B522">
        <v>2</v>
      </c>
      <c r="C522" s="36">
        <v>68208.53</v>
      </c>
      <c r="D522" s="1">
        <v>44986</v>
      </c>
      <c r="E522" s="35">
        <f t="shared" si="56"/>
        <v>0.42</v>
      </c>
      <c r="F522" s="37">
        <f t="shared" si="57"/>
        <v>34104.264999999999</v>
      </c>
      <c r="G522" s="37">
        <f t="shared" si="58"/>
        <v>14323.791299999999</v>
      </c>
      <c r="H522" s="36" cm="1">
        <f t="array" ref="H522">SUMPRODUCT((C522&gt;tier_floor)*((C522-tier_floor)*step)*margin_rate)</f>
        <v>11073.791300000001</v>
      </c>
      <c r="I522" s="37">
        <f t="shared" si="59"/>
        <v>3249.9999999999982</v>
      </c>
      <c r="J522" s="38">
        <f t="shared" si="60"/>
        <v>2023</v>
      </c>
      <c r="K522" s="128">
        <f>(1+target)^($J522-(MIN(tbl_rep_mon[year])))</f>
        <v>1.3224999999999998</v>
      </c>
      <c r="L522" s="35">
        <f t="shared" si="61"/>
        <v>0.42</v>
      </c>
      <c r="M522" s="37">
        <f t="shared" si="62"/>
        <v>14323.791299999999</v>
      </c>
    </row>
    <row r="523" spans="1:13" x14ac:dyDescent="0.4">
      <c r="A523" t="s">
        <v>7</v>
      </c>
      <c r="B523">
        <v>4</v>
      </c>
      <c r="C523" s="36">
        <v>61460.68</v>
      </c>
      <c r="D523" s="1">
        <v>44986</v>
      </c>
      <c r="E523" s="35">
        <f t="shared" si="56"/>
        <v>0.42</v>
      </c>
      <c r="F523" s="37">
        <f t="shared" si="57"/>
        <v>30730.34</v>
      </c>
      <c r="G523" s="37">
        <f t="shared" si="58"/>
        <v>12906.7428</v>
      </c>
      <c r="H523" s="36" cm="1">
        <f t="array" ref="H523">SUMPRODUCT((C523&gt;tier_floor)*((C523-tier_floor)*step)*margin_rate)</f>
        <v>9656.7428</v>
      </c>
      <c r="I523" s="37">
        <f t="shared" si="59"/>
        <v>3250</v>
      </c>
      <c r="J523" s="38">
        <f t="shared" si="60"/>
        <v>2023</v>
      </c>
      <c r="K523" s="128">
        <f>(1+target)^($J523-(MIN(tbl_rep_mon[year])))</f>
        <v>1.3224999999999998</v>
      </c>
      <c r="L523" s="35">
        <f t="shared" si="61"/>
        <v>0.33</v>
      </c>
      <c r="M523" s="37">
        <f t="shared" si="62"/>
        <v>10141.012200000001</v>
      </c>
    </row>
    <row r="524" spans="1:13" x14ac:dyDescent="0.4">
      <c r="A524" t="s">
        <v>8</v>
      </c>
      <c r="B524">
        <v>4</v>
      </c>
      <c r="C524" s="36">
        <v>72936.3</v>
      </c>
      <c r="D524" s="1">
        <v>44986</v>
      </c>
      <c r="E524" s="35">
        <f t="shared" si="56"/>
        <v>0.42</v>
      </c>
      <c r="F524" s="37">
        <f t="shared" si="57"/>
        <v>36468.15</v>
      </c>
      <c r="G524" s="37">
        <f t="shared" si="58"/>
        <v>15316.623</v>
      </c>
      <c r="H524" s="36" cm="1">
        <f t="array" ref="H524">SUMPRODUCT((C524&gt;tier_floor)*((C524-tier_floor)*step)*margin_rate)</f>
        <v>12066.623000000001</v>
      </c>
      <c r="I524" s="37">
        <f t="shared" si="59"/>
        <v>3249.9999999999982</v>
      </c>
      <c r="J524" s="38">
        <f t="shared" si="60"/>
        <v>2023</v>
      </c>
      <c r="K524" s="128">
        <f>(1+target)^($J524-(MIN(tbl_rep_mon[year])))</f>
        <v>1.3224999999999998</v>
      </c>
      <c r="L524" s="35">
        <f t="shared" si="61"/>
        <v>0.42</v>
      </c>
      <c r="M524" s="37">
        <f t="shared" si="62"/>
        <v>15316.623</v>
      </c>
    </row>
    <row r="525" spans="1:13" x14ac:dyDescent="0.4">
      <c r="A525" t="s">
        <v>15</v>
      </c>
      <c r="B525">
        <v>3</v>
      </c>
      <c r="C525" s="36">
        <v>77018.47</v>
      </c>
      <c r="D525" s="1">
        <v>44986</v>
      </c>
      <c r="E525" s="35">
        <f t="shared" si="56"/>
        <v>0.51</v>
      </c>
      <c r="F525" s="37">
        <f t="shared" si="57"/>
        <v>38509.235000000001</v>
      </c>
      <c r="G525" s="37">
        <f t="shared" si="58"/>
        <v>19639.709849999999</v>
      </c>
      <c r="H525" s="36" cm="1">
        <f t="array" ref="H525">SUMPRODUCT((C525&gt;tier_floor)*((C525-tier_floor)*step)*margin_rate)</f>
        <v>13014.709850000001</v>
      </c>
      <c r="I525" s="37">
        <f t="shared" si="59"/>
        <v>6624.9999999999982</v>
      </c>
      <c r="J525" s="38">
        <f t="shared" si="60"/>
        <v>2023</v>
      </c>
      <c r="K525" s="128">
        <f>(1+target)^($J525-(MIN(tbl_rep_mon[year])))</f>
        <v>1.3224999999999998</v>
      </c>
      <c r="L525" s="35">
        <f t="shared" si="61"/>
        <v>0.42</v>
      </c>
      <c r="M525" s="37">
        <f t="shared" si="62"/>
        <v>16173.878699999999</v>
      </c>
    </row>
    <row r="526" spans="1:13" x14ac:dyDescent="0.4">
      <c r="A526" t="s">
        <v>16</v>
      </c>
      <c r="B526">
        <v>3</v>
      </c>
      <c r="C526" s="36">
        <v>79025.740000000005</v>
      </c>
      <c r="D526" s="1">
        <v>44986</v>
      </c>
      <c r="E526" s="35">
        <f t="shared" si="56"/>
        <v>0.51</v>
      </c>
      <c r="F526" s="37">
        <f t="shared" si="57"/>
        <v>39512.870000000003</v>
      </c>
      <c r="G526" s="37">
        <f t="shared" si="58"/>
        <v>20151.563700000002</v>
      </c>
      <c r="H526" s="36" cm="1">
        <f t="array" ref="H526">SUMPRODUCT((C526&gt;tier_floor)*((C526-tier_floor)*step)*margin_rate)</f>
        <v>13526.563700000001</v>
      </c>
      <c r="I526" s="37">
        <f t="shared" si="59"/>
        <v>6625.0000000000018</v>
      </c>
      <c r="J526" s="38">
        <f t="shared" si="60"/>
        <v>2023</v>
      </c>
      <c r="K526" s="128">
        <f>(1+target)^($J526-(MIN(tbl_rep_mon[year])))</f>
        <v>1.3224999999999998</v>
      </c>
      <c r="L526" s="35">
        <f t="shared" si="61"/>
        <v>0.42</v>
      </c>
      <c r="M526" s="37">
        <f t="shared" si="62"/>
        <v>16595.4054</v>
      </c>
    </row>
    <row r="527" spans="1:13" x14ac:dyDescent="0.4">
      <c r="A527" t="s">
        <v>18</v>
      </c>
      <c r="B527">
        <v>3</v>
      </c>
      <c r="C527" s="36">
        <v>81743.399999999994</v>
      </c>
      <c r="D527" s="1">
        <v>44986</v>
      </c>
      <c r="E527" s="35">
        <f t="shared" si="56"/>
        <v>0.51</v>
      </c>
      <c r="F527" s="37">
        <f t="shared" si="57"/>
        <v>40871.699999999997</v>
      </c>
      <c r="G527" s="37">
        <f t="shared" si="58"/>
        <v>20844.566999999999</v>
      </c>
      <c r="H527" s="36" cm="1">
        <f t="array" ref="H527">SUMPRODUCT((C527&gt;tier_floor)*((C527-tier_floor)*step)*margin_rate)</f>
        <v>14219.566999999999</v>
      </c>
      <c r="I527" s="37">
        <f t="shared" si="59"/>
        <v>6625</v>
      </c>
      <c r="J527" s="38">
        <f t="shared" si="60"/>
        <v>2023</v>
      </c>
      <c r="K527" s="128">
        <f>(1+target)^($J527-(MIN(tbl_rep_mon[year])))</f>
        <v>1.3224999999999998</v>
      </c>
      <c r="L527" s="35">
        <f t="shared" si="61"/>
        <v>0.42</v>
      </c>
      <c r="M527" s="37">
        <f t="shared" si="62"/>
        <v>17166.113999999998</v>
      </c>
    </row>
    <row r="528" spans="1:13" x14ac:dyDescent="0.4">
      <c r="A528" t="s">
        <v>19</v>
      </c>
      <c r="B528">
        <v>4</v>
      </c>
      <c r="C528" s="36">
        <v>62272.36</v>
      </c>
      <c r="D528" s="1">
        <v>44986</v>
      </c>
      <c r="E528" s="35">
        <f t="shared" si="56"/>
        <v>0.42</v>
      </c>
      <c r="F528" s="37">
        <f t="shared" si="57"/>
        <v>31136.18</v>
      </c>
      <c r="G528" s="37">
        <f t="shared" si="58"/>
        <v>13077.195599999999</v>
      </c>
      <c r="H528" s="36" cm="1">
        <f t="array" ref="H528">SUMPRODUCT((C528&gt;tier_floor)*((C528-tier_floor)*step)*margin_rate)</f>
        <v>9827.1956000000009</v>
      </c>
      <c r="I528" s="37">
        <f t="shared" si="59"/>
        <v>3249.9999999999982</v>
      </c>
      <c r="J528" s="38">
        <f t="shared" si="60"/>
        <v>2023</v>
      </c>
      <c r="K528" s="128">
        <f>(1+target)^($J528-(MIN(tbl_rep_mon[year])))</f>
        <v>1.3224999999999998</v>
      </c>
      <c r="L528" s="35">
        <f t="shared" si="61"/>
        <v>0.33</v>
      </c>
      <c r="M528" s="37">
        <f t="shared" si="62"/>
        <v>10274.939400000001</v>
      </c>
    </row>
    <row r="529" spans="1:13" x14ac:dyDescent="0.4">
      <c r="A529" t="s">
        <v>23</v>
      </c>
      <c r="B529">
        <v>1</v>
      </c>
      <c r="C529" s="36">
        <v>135442.95000000001</v>
      </c>
      <c r="D529" s="1">
        <v>44986</v>
      </c>
      <c r="E529" s="35">
        <f t="shared" si="56"/>
        <v>0.6</v>
      </c>
      <c r="F529" s="37">
        <f t="shared" si="57"/>
        <v>67721.475000000006</v>
      </c>
      <c r="G529" s="37">
        <f t="shared" si="58"/>
        <v>40632.885000000002</v>
      </c>
      <c r="H529" s="36" cm="1">
        <f t="array" ref="H529">SUMPRODUCT((C529&gt;tier_floor)*((C529-tier_floor)*step)*margin_rate)</f>
        <v>29507.885000000002</v>
      </c>
      <c r="I529" s="37">
        <f t="shared" si="59"/>
        <v>11125</v>
      </c>
      <c r="J529" s="38">
        <f t="shared" si="60"/>
        <v>2023</v>
      </c>
      <c r="K529" s="128">
        <f>(1+target)^($J529-(MIN(tbl_rep_mon[year])))</f>
        <v>1.3224999999999998</v>
      </c>
      <c r="L529" s="35">
        <f t="shared" si="61"/>
        <v>0.6</v>
      </c>
      <c r="M529" s="37">
        <f t="shared" si="62"/>
        <v>40632.885000000002</v>
      </c>
    </row>
    <row r="530" spans="1:13" x14ac:dyDescent="0.4">
      <c r="A530" t="s">
        <v>24</v>
      </c>
      <c r="B530">
        <v>3</v>
      </c>
      <c r="C530" s="36">
        <v>49891.16</v>
      </c>
      <c r="D530" s="1">
        <v>44986</v>
      </c>
      <c r="E530" s="35">
        <f t="shared" si="56"/>
        <v>0.33</v>
      </c>
      <c r="F530" s="37">
        <f t="shared" si="57"/>
        <v>24945.58</v>
      </c>
      <c r="G530" s="37">
        <f t="shared" si="58"/>
        <v>8232.0414000000001</v>
      </c>
      <c r="H530" s="36" cm="1">
        <f t="array" ref="H530">SUMPRODUCT((C530&gt;tier_floor)*((C530-tier_floor)*step)*margin_rate)</f>
        <v>7232.041400000001</v>
      </c>
      <c r="I530" s="37">
        <f t="shared" si="59"/>
        <v>999.99999999999909</v>
      </c>
      <c r="J530" s="38">
        <f t="shared" si="60"/>
        <v>2023</v>
      </c>
      <c r="K530" s="128">
        <f>(1+target)^($J530-(MIN(tbl_rep_mon[year])))</f>
        <v>1.3224999999999998</v>
      </c>
      <c r="L530" s="35">
        <f t="shared" si="61"/>
        <v>0.33</v>
      </c>
      <c r="M530" s="37">
        <f t="shared" si="62"/>
        <v>8232.0414000000001</v>
      </c>
    </row>
    <row r="531" spans="1:13" x14ac:dyDescent="0.4">
      <c r="A531" t="s">
        <v>25</v>
      </c>
      <c r="B531">
        <v>2</v>
      </c>
      <c r="C531" s="36">
        <v>86103.5</v>
      </c>
      <c r="D531" s="1">
        <v>44986</v>
      </c>
      <c r="E531" s="35">
        <f t="shared" si="56"/>
        <v>0.51</v>
      </c>
      <c r="F531" s="37">
        <f t="shared" si="57"/>
        <v>43051.75</v>
      </c>
      <c r="G531" s="37">
        <f t="shared" si="58"/>
        <v>21956.392500000002</v>
      </c>
      <c r="H531" s="36" cm="1">
        <f t="array" ref="H531">SUMPRODUCT((C531&gt;tier_floor)*((C531-tier_floor)*step)*margin_rate)</f>
        <v>15331.392499999998</v>
      </c>
      <c r="I531" s="37">
        <f t="shared" si="59"/>
        <v>6625.0000000000036</v>
      </c>
      <c r="J531" s="38">
        <f t="shared" si="60"/>
        <v>2023</v>
      </c>
      <c r="K531" s="128">
        <f>(1+target)^($J531-(MIN(tbl_rep_mon[year])))</f>
        <v>1.3224999999999998</v>
      </c>
      <c r="L531" s="35">
        <f t="shared" si="61"/>
        <v>0.42</v>
      </c>
      <c r="M531" s="37">
        <f t="shared" si="62"/>
        <v>18081.735000000001</v>
      </c>
    </row>
    <row r="532" spans="1:13" x14ac:dyDescent="0.4">
      <c r="A532" t="s">
        <v>26</v>
      </c>
      <c r="B532">
        <v>2</v>
      </c>
      <c r="C532" s="36">
        <v>77335.66</v>
      </c>
      <c r="D532" s="1">
        <v>44986</v>
      </c>
      <c r="E532" s="35">
        <f t="shared" si="56"/>
        <v>0.51</v>
      </c>
      <c r="F532" s="37">
        <f t="shared" si="57"/>
        <v>38667.83</v>
      </c>
      <c r="G532" s="37">
        <f t="shared" si="58"/>
        <v>19720.5933</v>
      </c>
      <c r="H532" s="36" cm="1">
        <f t="array" ref="H532">SUMPRODUCT((C532&gt;tier_floor)*((C532-tier_floor)*step)*margin_rate)</f>
        <v>13095.5933</v>
      </c>
      <c r="I532" s="37">
        <f t="shared" si="59"/>
        <v>6625</v>
      </c>
      <c r="J532" s="38">
        <f t="shared" si="60"/>
        <v>2023</v>
      </c>
      <c r="K532" s="128">
        <f>(1+target)^($J532-(MIN(tbl_rep_mon[year])))</f>
        <v>1.3224999999999998</v>
      </c>
      <c r="L532" s="35">
        <f t="shared" si="61"/>
        <v>0.42</v>
      </c>
      <c r="M532" s="37">
        <f t="shared" si="62"/>
        <v>16240.488600000001</v>
      </c>
    </row>
    <row r="533" spans="1:13" x14ac:dyDescent="0.4">
      <c r="A533" t="s">
        <v>29</v>
      </c>
      <c r="B533">
        <v>1</v>
      </c>
      <c r="C533" s="36">
        <v>120629.97</v>
      </c>
      <c r="D533" s="1">
        <v>44986</v>
      </c>
      <c r="E533" s="35">
        <f t="shared" si="56"/>
        <v>0.6</v>
      </c>
      <c r="F533" s="37">
        <f t="shared" si="57"/>
        <v>60314.985000000001</v>
      </c>
      <c r="G533" s="37">
        <f t="shared" si="58"/>
        <v>36188.991000000002</v>
      </c>
      <c r="H533" s="36" cm="1">
        <f t="array" ref="H533">SUMPRODUCT((C533&gt;tier_floor)*((C533-tier_floor)*step)*margin_rate)</f>
        <v>25063.991000000002</v>
      </c>
      <c r="I533" s="37">
        <f t="shared" si="59"/>
        <v>11125</v>
      </c>
      <c r="J533" s="38">
        <f t="shared" si="60"/>
        <v>2023</v>
      </c>
      <c r="K533" s="128">
        <f>(1+target)^($J533-(MIN(tbl_rep_mon[year])))</f>
        <v>1.3224999999999998</v>
      </c>
      <c r="L533" s="35">
        <f t="shared" si="61"/>
        <v>0.51</v>
      </c>
      <c r="M533" s="37">
        <f t="shared" si="62"/>
        <v>30760.642350000002</v>
      </c>
    </row>
    <row r="534" spans="1:13" x14ac:dyDescent="0.4">
      <c r="A534" t="s">
        <v>31</v>
      </c>
      <c r="B534">
        <v>4</v>
      </c>
      <c r="C534" s="36">
        <v>50379.78</v>
      </c>
      <c r="D534" s="1">
        <v>44986</v>
      </c>
      <c r="E534" s="35">
        <f t="shared" si="56"/>
        <v>0.42</v>
      </c>
      <c r="F534" s="37">
        <f t="shared" si="57"/>
        <v>25189.89</v>
      </c>
      <c r="G534" s="37">
        <f t="shared" si="58"/>
        <v>10579.753799999999</v>
      </c>
      <c r="H534" s="36" cm="1">
        <f t="array" ref="H534">SUMPRODUCT((C534&gt;tier_floor)*((C534-tier_floor)*step)*margin_rate)</f>
        <v>7329.7538000000004</v>
      </c>
      <c r="I534" s="37">
        <f t="shared" si="59"/>
        <v>3249.9999999999982</v>
      </c>
      <c r="J534" s="38">
        <f t="shared" si="60"/>
        <v>2023</v>
      </c>
      <c r="K534" s="128">
        <f>(1+target)^($J534-(MIN(tbl_rep_mon[year])))</f>
        <v>1.3224999999999998</v>
      </c>
      <c r="L534" s="35">
        <f t="shared" si="61"/>
        <v>0.33</v>
      </c>
      <c r="M534" s="37">
        <f t="shared" si="62"/>
        <v>8312.663700000001</v>
      </c>
    </row>
    <row r="535" spans="1:13" x14ac:dyDescent="0.4">
      <c r="A535" t="s">
        <v>32</v>
      </c>
      <c r="B535">
        <v>4</v>
      </c>
      <c r="C535" s="36">
        <v>63356.2</v>
      </c>
      <c r="D535" s="1">
        <v>44986</v>
      </c>
      <c r="E535" s="35">
        <f t="shared" si="56"/>
        <v>0.42</v>
      </c>
      <c r="F535" s="37">
        <f t="shared" si="57"/>
        <v>31678.1</v>
      </c>
      <c r="G535" s="37">
        <f t="shared" si="58"/>
        <v>13304.802</v>
      </c>
      <c r="H535" s="36" cm="1">
        <f t="array" ref="H535">SUMPRODUCT((C535&gt;tier_floor)*((C535-tier_floor)*step)*margin_rate)</f>
        <v>10054.802</v>
      </c>
      <c r="I535" s="37">
        <f t="shared" si="59"/>
        <v>3250</v>
      </c>
      <c r="J535" s="38">
        <f t="shared" si="60"/>
        <v>2023</v>
      </c>
      <c r="K535" s="128">
        <f>(1+target)^($J535-(MIN(tbl_rep_mon[year])))</f>
        <v>1.3224999999999998</v>
      </c>
      <c r="L535" s="35">
        <f t="shared" si="61"/>
        <v>0.33</v>
      </c>
      <c r="M535" s="37">
        <f t="shared" si="62"/>
        <v>10453.772999999999</v>
      </c>
    </row>
    <row r="536" spans="1:13" x14ac:dyDescent="0.4">
      <c r="A536" t="s">
        <v>33</v>
      </c>
      <c r="B536">
        <v>3</v>
      </c>
      <c r="C536" s="36">
        <v>58367.31</v>
      </c>
      <c r="D536" s="1">
        <v>44986</v>
      </c>
      <c r="E536" s="35">
        <f t="shared" si="56"/>
        <v>0.42</v>
      </c>
      <c r="F536" s="37">
        <f t="shared" si="57"/>
        <v>29183.654999999999</v>
      </c>
      <c r="G536" s="37">
        <f t="shared" si="58"/>
        <v>12257.1351</v>
      </c>
      <c r="H536" s="36" cm="1">
        <f t="array" ref="H536">SUMPRODUCT((C536&gt;tier_floor)*((C536-tier_floor)*step)*margin_rate)</f>
        <v>9007.1350999999995</v>
      </c>
      <c r="I536" s="37">
        <f t="shared" si="59"/>
        <v>3250</v>
      </c>
      <c r="J536" s="38">
        <f t="shared" si="60"/>
        <v>2023</v>
      </c>
      <c r="K536" s="128">
        <f>(1+target)^($J536-(MIN(tbl_rep_mon[year])))</f>
        <v>1.3224999999999998</v>
      </c>
      <c r="L536" s="35">
        <f t="shared" si="61"/>
        <v>0.33</v>
      </c>
      <c r="M536" s="37">
        <f t="shared" si="62"/>
        <v>9630.6061499999996</v>
      </c>
    </row>
    <row r="537" spans="1:13" x14ac:dyDescent="0.4">
      <c r="A537" t="s">
        <v>34</v>
      </c>
      <c r="B537">
        <v>4</v>
      </c>
      <c r="C537" s="36">
        <v>76220.88</v>
      </c>
      <c r="D537" s="1">
        <v>44986</v>
      </c>
      <c r="E537" s="35">
        <f t="shared" si="56"/>
        <v>0.51</v>
      </c>
      <c r="F537" s="37">
        <f t="shared" si="57"/>
        <v>38110.44</v>
      </c>
      <c r="G537" s="37">
        <f t="shared" si="58"/>
        <v>19436.324400000001</v>
      </c>
      <c r="H537" s="36" cm="1">
        <f t="array" ref="H537">SUMPRODUCT((C537&gt;tier_floor)*((C537-tier_floor)*step)*margin_rate)</f>
        <v>12811.324400000001</v>
      </c>
      <c r="I537" s="37">
        <f t="shared" si="59"/>
        <v>6625</v>
      </c>
      <c r="J537" s="38">
        <f t="shared" si="60"/>
        <v>2023</v>
      </c>
      <c r="K537" s="128">
        <f>(1+target)^($J537-(MIN(tbl_rep_mon[year])))</f>
        <v>1.3224999999999998</v>
      </c>
      <c r="L537" s="35">
        <f t="shared" si="61"/>
        <v>0.42</v>
      </c>
      <c r="M537" s="37">
        <f t="shared" si="62"/>
        <v>16006.3848</v>
      </c>
    </row>
    <row r="538" spans="1:13" x14ac:dyDescent="0.4">
      <c r="A538" t="s">
        <v>35</v>
      </c>
      <c r="B538">
        <v>4</v>
      </c>
      <c r="C538" s="36">
        <v>49437.599999999999</v>
      </c>
      <c r="D538" s="1">
        <v>44986</v>
      </c>
      <c r="E538" s="35">
        <f t="shared" si="56"/>
        <v>0.33</v>
      </c>
      <c r="F538" s="37">
        <f t="shared" si="57"/>
        <v>24718.799999999999</v>
      </c>
      <c r="G538" s="37">
        <f t="shared" si="58"/>
        <v>8157.2039999999997</v>
      </c>
      <c r="H538" s="36" cm="1">
        <f t="array" ref="H538">SUMPRODUCT((C538&gt;tier_floor)*((C538-tier_floor)*step)*margin_rate)</f>
        <v>7157.2039999999997</v>
      </c>
      <c r="I538" s="37">
        <f t="shared" si="59"/>
        <v>1000</v>
      </c>
      <c r="J538" s="38">
        <f t="shared" si="60"/>
        <v>2023</v>
      </c>
      <c r="K538" s="128">
        <f>(1+target)^($J538-(MIN(tbl_rep_mon[year])))</f>
        <v>1.3224999999999998</v>
      </c>
      <c r="L538" s="35">
        <f t="shared" si="61"/>
        <v>0.33</v>
      </c>
      <c r="M538" s="37">
        <f t="shared" si="62"/>
        <v>8157.2039999999997</v>
      </c>
    </row>
    <row r="539" spans="1:13" x14ac:dyDescent="0.4">
      <c r="A539" t="s">
        <v>36</v>
      </c>
      <c r="B539">
        <v>2</v>
      </c>
      <c r="C539" s="36">
        <v>76864.55</v>
      </c>
      <c r="D539" s="1">
        <v>44986</v>
      </c>
      <c r="E539" s="35">
        <f t="shared" si="56"/>
        <v>0.51</v>
      </c>
      <c r="F539" s="37">
        <f t="shared" si="57"/>
        <v>38432.275000000001</v>
      </c>
      <c r="G539" s="37">
        <f t="shared" si="58"/>
        <v>19600.46025</v>
      </c>
      <c r="H539" s="36" cm="1">
        <f t="array" ref="H539">SUMPRODUCT((C539&gt;tier_floor)*((C539-tier_floor)*step)*margin_rate)</f>
        <v>12975.46025</v>
      </c>
      <c r="I539" s="37">
        <f t="shared" si="59"/>
        <v>6625</v>
      </c>
      <c r="J539" s="38">
        <f t="shared" si="60"/>
        <v>2023</v>
      </c>
      <c r="K539" s="128">
        <f>(1+target)^($J539-(MIN(tbl_rep_mon[year])))</f>
        <v>1.3224999999999998</v>
      </c>
      <c r="L539" s="35">
        <f t="shared" si="61"/>
        <v>0.42</v>
      </c>
      <c r="M539" s="37">
        <f t="shared" si="62"/>
        <v>16141.5555</v>
      </c>
    </row>
    <row r="540" spans="1:13" x14ac:dyDescent="0.4">
      <c r="A540" t="s">
        <v>37</v>
      </c>
      <c r="B540">
        <v>4</v>
      </c>
      <c r="C540" s="36">
        <v>63853.91</v>
      </c>
      <c r="D540" s="1">
        <v>44986</v>
      </c>
      <c r="E540" s="35">
        <f t="shared" si="56"/>
        <v>0.42</v>
      </c>
      <c r="F540" s="37">
        <f t="shared" si="57"/>
        <v>31926.955000000002</v>
      </c>
      <c r="G540" s="37">
        <f t="shared" si="58"/>
        <v>13409.321100000001</v>
      </c>
      <c r="H540" s="36" cm="1">
        <f t="array" ref="H540">SUMPRODUCT((C540&gt;tier_floor)*((C540-tier_floor)*step)*margin_rate)</f>
        <v>10159.321100000001</v>
      </c>
      <c r="I540" s="37">
        <f t="shared" si="59"/>
        <v>3250</v>
      </c>
      <c r="J540" s="38">
        <f t="shared" si="60"/>
        <v>2023</v>
      </c>
      <c r="K540" s="128">
        <f>(1+target)^($J540-(MIN(tbl_rep_mon[year])))</f>
        <v>1.3224999999999998</v>
      </c>
      <c r="L540" s="35">
        <f t="shared" si="61"/>
        <v>0.33</v>
      </c>
      <c r="M540" s="37">
        <f t="shared" si="62"/>
        <v>10535.89515</v>
      </c>
    </row>
    <row r="541" spans="1:13" x14ac:dyDescent="0.4">
      <c r="A541" t="s">
        <v>38</v>
      </c>
      <c r="B541">
        <v>2</v>
      </c>
      <c r="C541" s="36">
        <v>57413.279999999999</v>
      </c>
      <c r="D541" s="1">
        <v>44986</v>
      </c>
      <c r="E541" s="35">
        <f t="shared" si="56"/>
        <v>0.42</v>
      </c>
      <c r="F541" s="37">
        <f t="shared" si="57"/>
        <v>28706.639999999999</v>
      </c>
      <c r="G541" s="37">
        <f t="shared" si="58"/>
        <v>12056.788799999998</v>
      </c>
      <c r="H541" s="36" cm="1">
        <f t="array" ref="H541">SUMPRODUCT((C541&gt;tier_floor)*((C541-tier_floor)*step)*margin_rate)</f>
        <v>8806.7887999999984</v>
      </c>
      <c r="I541" s="37">
        <f t="shared" si="59"/>
        <v>3250</v>
      </c>
      <c r="J541" s="38">
        <f t="shared" si="60"/>
        <v>2023</v>
      </c>
      <c r="K541" s="128">
        <f>(1+target)^($J541-(MIN(tbl_rep_mon[year])))</f>
        <v>1.3224999999999998</v>
      </c>
      <c r="L541" s="35">
        <f t="shared" si="61"/>
        <v>0.33</v>
      </c>
      <c r="M541" s="37">
        <f t="shared" si="62"/>
        <v>9473.1912000000011</v>
      </c>
    </row>
    <row r="542" spans="1:13" x14ac:dyDescent="0.4">
      <c r="A542" t="s">
        <v>6</v>
      </c>
      <c r="B542">
        <v>2</v>
      </c>
      <c r="C542" s="36">
        <v>50948.59</v>
      </c>
      <c r="D542" s="1">
        <v>45017</v>
      </c>
      <c r="E542" s="35">
        <f t="shared" si="56"/>
        <v>0.42</v>
      </c>
      <c r="F542" s="37">
        <f t="shared" si="57"/>
        <v>25474.294999999998</v>
      </c>
      <c r="G542" s="37">
        <f t="shared" si="58"/>
        <v>10699.203899999999</v>
      </c>
      <c r="H542" s="36" cm="1">
        <f t="array" ref="H542">SUMPRODUCT((C542&gt;tier_floor)*((C542-tier_floor)*step)*margin_rate)</f>
        <v>7449.2038999999995</v>
      </c>
      <c r="I542" s="37">
        <f t="shared" si="59"/>
        <v>3249.9999999999991</v>
      </c>
      <c r="J542" s="38">
        <f t="shared" si="60"/>
        <v>2023</v>
      </c>
      <c r="K542" s="128">
        <f>(1+target)^($J542-(MIN(tbl_rep_mon[year])))</f>
        <v>1.3224999999999998</v>
      </c>
      <c r="L542" s="35">
        <f t="shared" si="61"/>
        <v>0.33</v>
      </c>
      <c r="M542" s="37">
        <f t="shared" si="62"/>
        <v>8406.5173500000001</v>
      </c>
    </row>
    <row r="543" spans="1:13" x14ac:dyDescent="0.4">
      <c r="A543" t="s">
        <v>7</v>
      </c>
      <c r="B543">
        <v>4</v>
      </c>
      <c r="C543" s="36">
        <v>67717.23</v>
      </c>
      <c r="D543" s="1">
        <v>45017</v>
      </c>
      <c r="E543" s="35">
        <f t="shared" si="56"/>
        <v>0.42</v>
      </c>
      <c r="F543" s="37">
        <f t="shared" si="57"/>
        <v>33858.614999999998</v>
      </c>
      <c r="G543" s="37">
        <f t="shared" si="58"/>
        <v>14220.618299999998</v>
      </c>
      <c r="H543" s="36" cm="1">
        <f t="array" ref="H543">SUMPRODUCT((C543&gt;tier_floor)*((C543-tier_floor)*step)*margin_rate)</f>
        <v>10970.6183</v>
      </c>
      <c r="I543" s="37">
        <f t="shared" si="59"/>
        <v>3249.9999999999982</v>
      </c>
      <c r="J543" s="38">
        <f t="shared" si="60"/>
        <v>2023</v>
      </c>
      <c r="K543" s="128">
        <f>(1+target)^($J543-(MIN(tbl_rep_mon[year])))</f>
        <v>1.3224999999999998</v>
      </c>
      <c r="L543" s="35">
        <f t="shared" si="61"/>
        <v>0.42</v>
      </c>
      <c r="M543" s="37">
        <f t="shared" si="62"/>
        <v>14220.618299999998</v>
      </c>
    </row>
    <row r="544" spans="1:13" x14ac:dyDescent="0.4">
      <c r="A544" t="s">
        <v>8</v>
      </c>
      <c r="B544">
        <v>4</v>
      </c>
      <c r="C544" s="36">
        <v>50192.81</v>
      </c>
      <c r="D544" s="1">
        <v>45017</v>
      </c>
      <c r="E544" s="35">
        <f t="shared" si="56"/>
        <v>0.42</v>
      </c>
      <c r="F544" s="37">
        <f t="shared" si="57"/>
        <v>25096.404999999999</v>
      </c>
      <c r="G544" s="37">
        <f t="shared" si="58"/>
        <v>10540.490099999999</v>
      </c>
      <c r="H544" s="36" cm="1">
        <f t="array" ref="H544">SUMPRODUCT((C544&gt;tier_floor)*((C544-tier_floor)*step)*margin_rate)</f>
        <v>7290.4901</v>
      </c>
      <c r="I544" s="37">
        <f t="shared" si="59"/>
        <v>3249.9999999999991</v>
      </c>
      <c r="J544" s="38">
        <f t="shared" si="60"/>
        <v>2023</v>
      </c>
      <c r="K544" s="128">
        <f>(1+target)^($J544-(MIN(tbl_rep_mon[year])))</f>
        <v>1.3224999999999998</v>
      </c>
      <c r="L544" s="35">
        <f t="shared" si="61"/>
        <v>0.33</v>
      </c>
      <c r="M544" s="37">
        <f t="shared" si="62"/>
        <v>8281.8136500000001</v>
      </c>
    </row>
    <row r="545" spans="1:13" x14ac:dyDescent="0.4">
      <c r="A545" t="s">
        <v>15</v>
      </c>
      <c r="B545">
        <v>3</v>
      </c>
      <c r="C545" s="36">
        <v>88616.86</v>
      </c>
      <c r="D545" s="1">
        <v>45017</v>
      </c>
      <c r="E545" s="35">
        <f t="shared" si="56"/>
        <v>0.51</v>
      </c>
      <c r="F545" s="37">
        <f t="shared" si="57"/>
        <v>44308.43</v>
      </c>
      <c r="G545" s="37">
        <f t="shared" si="58"/>
        <v>22597.299299999999</v>
      </c>
      <c r="H545" s="36" cm="1">
        <f t="array" ref="H545">SUMPRODUCT((C545&gt;tier_floor)*((C545-tier_floor)*step)*margin_rate)</f>
        <v>15972.299300000001</v>
      </c>
      <c r="I545" s="37">
        <f t="shared" si="59"/>
        <v>6624.9999999999982</v>
      </c>
      <c r="J545" s="38">
        <f t="shared" si="60"/>
        <v>2023</v>
      </c>
      <c r="K545" s="128">
        <f>(1+target)^($J545-(MIN(tbl_rep_mon[year])))</f>
        <v>1.3224999999999998</v>
      </c>
      <c r="L545" s="35">
        <f t="shared" si="61"/>
        <v>0.42</v>
      </c>
      <c r="M545" s="37">
        <f t="shared" si="62"/>
        <v>18609.5406</v>
      </c>
    </row>
    <row r="546" spans="1:13" x14ac:dyDescent="0.4">
      <c r="A546" t="s">
        <v>16</v>
      </c>
      <c r="B546">
        <v>3</v>
      </c>
      <c r="C546" s="36">
        <v>80116.210000000006</v>
      </c>
      <c r="D546" s="1">
        <v>45017</v>
      </c>
      <c r="E546" s="35">
        <f t="shared" si="56"/>
        <v>0.51</v>
      </c>
      <c r="F546" s="37">
        <f t="shared" si="57"/>
        <v>40058.105000000003</v>
      </c>
      <c r="G546" s="37">
        <f t="shared" si="58"/>
        <v>20429.633550000002</v>
      </c>
      <c r="H546" s="36" cm="1">
        <f t="array" ref="H546">SUMPRODUCT((C546&gt;tier_floor)*((C546-tier_floor)*step)*margin_rate)</f>
        <v>13804.63355</v>
      </c>
      <c r="I546" s="37">
        <f t="shared" si="59"/>
        <v>6625.0000000000018</v>
      </c>
      <c r="J546" s="38">
        <f t="shared" si="60"/>
        <v>2023</v>
      </c>
      <c r="K546" s="128">
        <f>(1+target)^($J546-(MIN(tbl_rep_mon[year])))</f>
        <v>1.3224999999999998</v>
      </c>
      <c r="L546" s="35">
        <f t="shared" si="61"/>
        <v>0.42</v>
      </c>
      <c r="M546" s="37">
        <f t="shared" si="62"/>
        <v>16824.4041</v>
      </c>
    </row>
    <row r="547" spans="1:13" x14ac:dyDescent="0.4">
      <c r="A547" t="s">
        <v>18</v>
      </c>
      <c r="B547">
        <v>3</v>
      </c>
      <c r="C547" s="36">
        <v>99370.61</v>
      </c>
      <c r="D547" s="1">
        <v>45017</v>
      </c>
      <c r="E547" s="35">
        <f t="shared" si="56"/>
        <v>0.51</v>
      </c>
      <c r="F547" s="37">
        <f t="shared" si="57"/>
        <v>49685.305</v>
      </c>
      <c r="G547" s="37">
        <f t="shared" si="58"/>
        <v>25339.505550000002</v>
      </c>
      <c r="H547" s="36" cm="1">
        <f t="array" ref="H547">SUMPRODUCT((C547&gt;tier_floor)*((C547-tier_floor)*step)*margin_rate)</f>
        <v>18714.505549999998</v>
      </c>
      <c r="I547" s="37">
        <f t="shared" si="59"/>
        <v>6625.0000000000036</v>
      </c>
      <c r="J547" s="38">
        <f t="shared" si="60"/>
        <v>2023</v>
      </c>
      <c r="K547" s="128">
        <f>(1+target)^($J547-(MIN(tbl_rep_mon[year])))</f>
        <v>1.3224999999999998</v>
      </c>
      <c r="L547" s="35">
        <f t="shared" si="61"/>
        <v>0.51</v>
      </c>
      <c r="M547" s="37">
        <f t="shared" si="62"/>
        <v>25339.505550000002</v>
      </c>
    </row>
    <row r="548" spans="1:13" x14ac:dyDescent="0.4">
      <c r="A548" t="s">
        <v>19</v>
      </c>
      <c r="B548">
        <v>4</v>
      </c>
      <c r="C548" s="36">
        <v>59868.28</v>
      </c>
      <c r="D548" s="1">
        <v>45017</v>
      </c>
      <c r="E548" s="35">
        <f t="shared" si="56"/>
        <v>0.42</v>
      </c>
      <c r="F548" s="37">
        <f t="shared" si="57"/>
        <v>29934.14</v>
      </c>
      <c r="G548" s="37">
        <f t="shared" si="58"/>
        <v>12572.3388</v>
      </c>
      <c r="H548" s="36" cm="1">
        <f t="array" ref="H548">SUMPRODUCT((C548&gt;tier_floor)*((C548-tier_floor)*step)*margin_rate)</f>
        <v>9322.3387999999995</v>
      </c>
      <c r="I548" s="37">
        <f t="shared" si="59"/>
        <v>3250</v>
      </c>
      <c r="J548" s="38">
        <f t="shared" si="60"/>
        <v>2023</v>
      </c>
      <c r="K548" s="128">
        <f>(1+target)^($J548-(MIN(tbl_rep_mon[year])))</f>
        <v>1.3224999999999998</v>
      </c>
      <c r="L548" s="35">
        <f t="shared" si="61"/>
        <v>0.33</v>
      </c>
      <c r="M548" s="37">
        <f t="shared" si="62"/>
        <v>9878.2662</v>
      </c>
    </row>
    <row r="549" spans="1:13" x14ac:dyDescent="0.4">
      <c r="A549" t="s">
        <v>23</v>
      </c>
      <c r="B549">
        <v>1</v>
      </c>
      <c r="C549" s="36">
        <v>111788.44</v>
      </c>
      <c r="D549" s="1">
        <v>45017</v>
      </c>
      <c r="E549" s="35">
        <f t="shared" si="56"/>
        <v>0.6</v>
      </c>
      <c r="F549" s="37">
        <f t="shared" si="57"/>
        <v>55894.22</v>
      </c>
      <c r="G549" s="37">
        <f t="shared" si="58"/>
        <v>33536.531999999999</v>
      </c>
      <c r="H549" s="36" cm="1">
        <f t="array" ref="H549">SUMPRODUCT((C549&gt;tier_floor)*((C549-tier_floor)*step)*margin_rate)</f>
        <v>22411.531999999999</v>
      </c>
      <c r="I549" s="37">
        <f t="shared" si="59"/>
        <v>11125</v>
      </c>
      <c r="J549" s="38">
        <f t="shared" si="60"/>
        <v>2023</v>
      </c>
      <c r="K549" s="128">
        <f>(1+target)^($J549-(MIN(tbl_rep_mon[year])))</f>
        <v>1.3224999999999998</v>
      </c>
      <c r="L549" s="35">
        <f t="shared" si="61"/>
        <v>0.51</v>
      </c>
      <c r="M549" s="37">
        <f t="shared" si="62"/>
        <v>28506.052200000002</v>
      </c>
    </row>
    <row r="550" spans="1:13" x14ac:dyDescent="0.4">
      <c r="A550" t="s">
        <v>24</v>
      </c>
      <c r="B550">
        <v>3</v>
      </c>
      <c r="C550" s="36">
        <v>69914.39</v>
      </c>
      <c r="D550" s="1">
        <v>45017</v>
      </c>
      <c r="E550" s="35">
        <f t="shared" si="56"/>
        <v>0.42</v>
      </c>
      <c r="F550" s="37">
        <f t="shared" si="57"/>
        <v>34957.195</v>
      </c>
      <c r="G550" s="37">
        <f t="shared" si="58"/>
        <v>14682.0219</v>
      </c>
      <c r="H550" s="36" cm="1">
        <f t="array" ref="H550">SUMPRODUCT((C550&gt;tier_floor)*((C550-tier_floor)*step)*margin_rate)</f>
        <v>11432.0219</v>
      </c>
      <c r="I550" s="37">
        <f t="shared" si="59"/>
        <v>3250</v>
      </c>
      <c r="J550" s="38">
        <f t="shared" si="60"/>
        <v>2023</v>
      </c>
      <c r="K550" s="128">
        <f>(1+target)^($J550-(MIN(tbl_rep_mon[year])))</f>
        <v>1.3224999999999998</v>
      </c>
      <c r="L550" s="35">
        <f t="shared" si="61"/>
        <v>0.42</v>
      </c>
      <c r="M550" s="37">
        <f t="shared" si="62"/>
        <v>14682.0219</v>
      </c>
    </row>
    <row r="551" spans="1:13" x14ac:dyDescent="0.4">
      <c r="A551" t="s">
        <v>25</v>
      </c>
      <c r="B551">
        <v>2</v>
      </c>
      <c r="C551" s="36">
        <v>65379.09</v>
      </c>
      <c r="D551" s="1">
        <v>45017</v>
      </c>
      <c r="E551" s="35">
        <f t="shared" si="56"/>
        <v>0.42</v>
      </c>
      <c r="F551" s="37">
        <f t="shared" si="57"/>
        <v>32689.544999999998</v>
      </c>
      <c r="G551" s="37">
        <f t="shared" si="58"/>
        <v>13729.608899999999</v>
      </c>
      <c r="H551" s="36" cm="1">
        <f t="array" ref="H551">SUMPRODUCT((C551&gt;tier_floor)*((C551-tier_floor)*step)*margin_rate)</f>
        <v>10479.608899999999</v>
      </c>
      <c r="I551" s="37">
        <f t="shared" si="59"/>
        <v>3250</v>
      </c>
      <c r="J551" s="38">
        <f t="shared" si="60"/>
        <v>2023</v>
      </c>
      <c r="K551" s="128">
        <f>(1+target)^($J551-(MIN(tbl_rep_mon[year])))</f>
        <v>1.3224999999999998</v>
      </c>
      <c r="L551" s="35">
        <f t="shared" si="61"/>
        <v>0.33</v>
      </c>
      <c r="M551" s="37">
        <f t="shared" si="62"/>
        <v>10787.549849999999</v>
      </c>
    </row>
    <row r="552" spans="1:13" x14ac:dyDescent="0.4">
      <c r="A552" t="s">
        <v>26</v>
      </c>
      <c r="B552">
        <v>2</v>
      </c>
      <c r="C552" s="36">
        <v>80382.929999999993</v>
      </c>
      <c r="D552" s="1">
        <v>45017</v>
      </c>
      <c r="E552" s="35">
        <f t="shared" si="56"/>
        <v>0.51</v>
      </c>
      <c r="F552" s="37">
        <f t="shared" si="57"/>
        <v>40191.464999999997</v>
      </c>
      <c r="G552" s="37">
        <f t="shared" si="58"/>
        <v>20497.647149999997</v>
      </c>
      <c r="H552" s="36" cm="1">
        <f t="array" ref="H552">SUMPRODUCT((C552&gt;tier_floor)*((C552-tier_floor)*step)*margin_rate)</f>
        <v>13872.647149999997</v>
      </c>
      <c r="I552" s="37">
        <f t="shared" si="59"/>
        <v>6625</v>
      </c>
      <c r="J552" s="38">
        <f t="shared" si="60"/>
        <v>2023</v>
      </c>
      <c r="K552" s="128">
        <f>(1+target)^($J552-(MIN(tbl_rep_mon[year])))</f>
        <v>1.3224999999999998</v>
      </c>
      <c r="L552" s="35">
        <f t="shared" si="61"/>
        <v>0.42</v>
      </c>
      <c r="M552" s="37">
        <f t="shared" si="62"/>
        <v>16880.415299999997</v>
      </c>
    </row>
    <row r="553" spans="1:13" x14ac:dyDescent="0.4">
      <c r="A553" t="s">
        <v>29</v>
      </c>
      <c r="B553">
        <v>1</v>
      </c>
      <c r="C553" s="36">
        <v>92424.33</v>
      </c>
      <c r="D553" s="1">
        <v>45017</v>
      </c>
      <c r="E553" s="35">
        <f t="shared" si="56"/>
        <v>0.51</v>
      </c>
      <c r="F553" s="37">
        <f t="shared" si="57"/>
        <v>46212.165000000001</v>
      </c>
      <c r="G553" s="37">
        <f t="shared" si="58"/>
        <v>23568.204150000001</v>
      </c>
      <c r="H553" s="36" cm="1">
        <f t="array" ref="H553">SUMPRODUCT((C553&gt;tier_floor)*((C553-tier_floor)*step)*margin_rate)</f>
        <v>16943.204150000001</v>
      </c>
      <c r="I553" s="37">
        <f t="shared" si="59"/>
        <v>6625</v>
      </c>
      <c r="J553" s="38">
        <f t="shared" si="60"/>
        <v>2023</v>
      </c>
      <c r="K553" s="128">
        <f>(1+target)^($J553-(MIN(tbl_rep_mon[year])))</f>
        <v>1.3224999999999998</v>
      </c>
      <c r="L553" s="35">
        <f t="shared" si="61"/>
        <v>0.42</v>
      </c>
      <c r="M553" s="37">
        <f t="shared" si="62"/>
        <v>19409.1093</v>
      </c>
    </row>
    <row r="554" spans="1:13" x14ac:dyDescent="0.4">
      <c r="A554" t="s">
        <v>31</v>
      </c>
      <c r="B554">
        <v>4</v>
      </c>
      <c r="C554" s="36">
        <v>31758.77</v>
      </c>
      <c r="D554" s="1">
        <v>45017</v>
      </c>
      <c r="E554" s="35">
        <f t="shared" si="56"/>
        <v>0.33</v>
      </c>
      <c r="F554" s="37">
        <f t="shared" si="57"/>
        <v>15879.385</v>
      </c>
      <c r="G554" s="37">
        <f t="shared" si="58"/>
        <v>5240.1970500000007</v>
      </c>
      <c r="H554" s="36" cm="1">
        <f t="array" ref="H554">SUMPRODUCT((C554&gt;tier_floor)*((C554-tier_floor)*step)*margin_rate)</f>
        <v>4240.1970499999998</v>
      </c>
      <c r="I554" s="37">
        <f t="shared" si="59"/>
        <v>1000.0000000000009</v>
      </c>
      <c r="J554" s="38">
        <f t="shared" si="60"/>
        <v>2023</v>
      </c>
      <c r="K554" s="128">
        <f>(1+target)^($J554-(MIN(tbl_rep_mon[year])))</f>
        <v>1.3224999999999998</v>
      </c>
      <c r="L554" s="35">
        <f t="shared" si="61"/>
        <v>0.25</v>
      </c>
      <c r="M554" s="37">
        <f t="shared" si="62"/>
        <v>3969.8462500000001</v>
      </c>
    </row>
    <row r="555" spans="1:13" x14ac:dyDescent="0.4">
      <c r="A555" t="s">
        <v>32</v>
      </c>
      <c r="B555">
        <v>4</v>
      </c>
      <c r="C555" s="36">
        <v>79850.2</v>
      </c>
      <c r="D555" s="1">
        <v>45017</v>
      </c>
      <c r="E555" s="35">
        <f t="shared" si="56"/>
        <v>0.51</v>
      </c>
      <c r="F555" s="37">
        <f t="shared" si="57"/>
        <v>39925.1</v>
      </c>
      <c r="G555" s="37">
        <f t="shared" si="58"/>
        <v>20361.800999999999</v>
      </c>
      <c r="H555" s="36" cm="1">
        <f t="array" ref="H555">SUMPRODUCT((C555&gt;tier_floor)*((C555-tier_floor)*step)*margin_rate)</f>
        <v>13736.800999999999</v>
      </c>
      <c r="I555" s="37">
        <f t="shared" si="59"/>
        <v>6625</v>
      </c>
      <c r="J555" s="38">
        <f t="shared" si="60"/>
        <v>2023</v>
      </c>
      <c r="K555" s="128">
        <f>(1+target)^($J555-(MIN(tbl_rep_mon[year])))</f>
        <v>1.3224999999999998</v>
      </c>
      <c r="L555" s="35">
        <f t="shared" si="61"/>
        <v>0.42</v>
      </c>
      <c r="M555" s="37">
        <f t="shared" si="62"/>
        <v>16768.541999999998</v>
      </c>
    </row>
    <row r="556" spans="1:13" x14ac:dyDescent="0.4">
      <c r="A556" t="s">
        <v>33</v>
      </c>
      <c r="B556">
        <v>3</v>
      </c>
      <c r="C556" s="36">
        <v>60579.68</v>
      </c>
      <c r="D556" s="1">
        <v>45017</v>
      </c>
      <c r="E556" s="35">
        <f t="shared" si="56"/>
        <v>0.42</v>
      </c>
      <c r="F556" s="37">
        <f t="shared" si="57"/>
        <v>30289.84</v>
      </c>
      <c r="G556" s="37">
        <f t="shared" si="58"/>
        <v>12721.7328</v>
      </c>
      <c r="H556" s="36" cm="1">
        <f t="array" ref="H556">SUMPRODUCT((C556&gt;tier_floor)*((C556-tier_floor)*step)*margin_rate)</f>
        <v>9471.7327999999998</v>
      </c>
      <c r="I556" s="37">
        <f t="shared" si="59"/>
        <v>3250</v>
      </c>
      <c r="J556" s="38">
        <f t="shared" si="60"/>
        <v>2023</v>
      </c>
      <c r="K556" s="128">
        <f>(1+target)^($J556-(MIN(tbl_rep_mon[year])))</f>
        <v>1.3224999999999998</v>
      </c>
      <c r="L556" s="35">
        <f t="shared" si="61"/>
        <v>0.33</v>
      </c>
      <c r="M556" s="37">
        <f t="shared" si="62"/>
        <v>9995.6472000000012</v>
      </c>
    </row>
    <row r="557" spans="1:13" x14ac:dyDescent="0.4">
      <c r="A557" t="s">
        <v>34</v>
      </c>
      <c r="B557">
        <v>4</v>
      </c>
      <c r="C557" s="36">
        <v>86155.8</v>
      </c>
      <c r="D557" s="1">
        <v>45017</v>
      </c>
      <c r="E557" s="35">
        <f t="shared" si="56"/>
        <v>0.51</v>
      </c>
      <c r="F557" s="37">
        <f t="shared" si="57"/>
        <v>43077.9</v>
      </c>
      <c r="G557" s="37">
        <f t="shared" si="58"/>
        <v>21969.728999999999</v>
      </c>
      <c r="H557" s="36" cm="1">
        <f t="array" ref="H557">SUMPRODUCT((C557&gt;tier_floor)*((C557-tier_floor)*step)*margin_rate)</f>
        <v>15344.729000000001</v>
      </c>
      <c r="I557" s="37">
        <f t="shared" si="59"/>
        <v>6624.9999999999982</v>
      </c>
      <c r="J557" s="38">
        <f t="shared" si="60"/>
        <v>2023</v>
      </c>
      <c r="K557" s="128">
        <f>(1+target)^($J557-(MIN(tbl_rep_mon[year])))</f>
        <v>1.3224999999999998</v>
      </c>
      <c r="L557" s="35">
        <f t="shared" si="61"/>
        <v>0.42</v>
      </c>
      <c r="M557" s="37">
        <f t="shared" si="62"/>
        <v>18092.718000000001</v>
      </c>
    </row>
    <row r="558" spans="1:13" x14ac:dyDescent="0.4">
      <c r="A558" t="s">
        <v>35</v>
      </c>
      <c r="B558">
        <v>4</v>
      </c>
      <c r="C558" s="36">
        <v>49954.01</v>
      </c>
      <c r="D558" s="1">
        <v>45017</v>
      </c>
      <c r="E558" s="35">
        <f t="shared" si="56"/>
        <v>0.33</v>
      </c>
      <c r="F558" s="37">
        <f t="shared" si="57"/>
        <v>24977.005000000001</v>
      </c>
      <c r="G558" s="37">
        <f t="shared" si="58"/>
        <v>8242.41165</v>
      </c>
      <c r="H558" s="36" cm="1">
        <f t="array" ref="H558">SUMPRODUCT((C558&gt;tier_floor)*((C558-tier_floor)*step)*margin_rate)</f>
        <v>7242.4116500000009</v>
      </c>
      <c r="I558" s="37">
        <f t="shared" si="59"/>
        <v>999.99999999999909</v>
      </c>
      <c r="J558" s="38">
        <f t="shared" si="60"/>
        <v>2023</v>
      </c>
      <c r="K558" s="128">
        <f>(1+target)^($J558-(MIN(tbl_rep_mon[year])))</f>
        <v>1.3224999999999998</v>
      </c>
      <c r="L558" s="35">
        <f t="shared" si="61"/>
        <v>0.33</v>
      </c>
      <c r="M558" s="37">
        <f t="shared" si="62"/>
        <v>8242.41165</v>
      </c>
    </row>
    <row r="559" spans="1:13" x14ac:dyDescent="0.4">
      <c r="A559" t="s">
        <v>36</v>
      </c>
      <c r="B559">
        <v>2</v>
      </c>
      <c r="C559" s="36">
        <v>11062.24</v>
      </c>
      <c r="D559" s="1">
        <v>45017</v>
      </c>
      <c r="E559" s="35">
        <f t="shared" si="56"/>
        <v>0.25</v>
      </c>
      <c r="F559" s="37">
        <f t="shared" si="57"/>
        <v>5531.12</v>
      </c>
      <c r="G559" s="37">
        <f t="shared" si="58"/>
        <v>1382.78</v>
      </c>
      <c r="H559" s="36" cm="1">
        <f t="array" ref="H559">SUMPRODUCT((C559&gt;tier_floor)*((C559-tier_floor)*step)*margin_rate)</f>
        <v>1382.78</v>
      </c>
      <c r="I559" s="37">
        <f t="shared" si="59"/>
        <v>0</v>
      </c>
      <c r="J559" s="38">
        <f t="shared" si="60"/>
        <v>2023</v>
      </c>
      <c r="K559" s="128">
        <f>(1+target)^($J559-(MIN(tbl_rep_mon[year])))</f>
        <v>1.3224999999999998</v>
      </c>
      <c r="L559" s="35">
        <f t="shared" si="61"/>
        <v>0.25</v>
      </c>
      <c r="M559" s="37">
        <f t="shared" si="62"/>
        <v>1382.78</v>
      </c>
    </row>
    <row r="560" spans="1:13" x14ac:dyDescent="0.4">
      <c r="A560" t="s">
        <v>37</v>
      </c>
      <c r="B560">
        <v>4</v>
      </c>
      <c r="C560" s="36">
        <v>66078.02</v>
      </c>
      <c r="D560" s="1">
        <v>45017</v>
      </c>
      <c r="E560" s="35">
        <f t="shared" si="56"/>
        <v>0.42</v>
      </c>
      <c r="F560" s="37">
        <f t="shared" si="57"/>
        <v>33039.01</v>
      </c>
      <c r="G560" s="37">
        <f t="shared" si="58"/>
        <v>13876.3842</v>
      </c>
      <c r="H560" s="36" cm="1">
        <f t="array" ref="H560">SUMPRODUCT((C560&gt;tier_floor)*((C560-tier_floor)*step)*margin_rate)</f>
        <v>10626.3842</v>
      </c>
      <c r="I560" s="37">
        <f t="shared" si="59"/>
        <v>3250</v>
      </c>
      <c r="J560" s="38">
        <f t="shared" si="60"/>
        <v>2023</v>
      </c>
      <c r="K560" s="128">
        <f>(1+target)^($J560-(MIN(tbl_rep_mon[year])))</f>
        <v>1.3224999999999998</v>
      </c>
      <c r="L560" s="35">
        <f t="shared" si="61"/>
        <v>0.33</v>
      </c>
      <c r="M560" s="37">
        <f t="shared" si="62"/>
        <v>10902.873300000001</v>
      </c>
    </row>
    <row r="561" spans="1:13" x14ac:dyDescent="0.4">
      <c r="A561" t="s">
        <v>38</v>
      </c>
      <c r="B561">
        <v>2</v>
      </c>
      <c r="C561" s="36">
        <v>84924.07</v>
      </c>
      <c r="D561" s="1">
        <v>45017</v>
      </c>
      <c r="E561" s="35">
        <f t="shared" si="56"/>
        <v>0.51</v>
      </c>
      <c r="F561" s="37">
        <f t="shared" si="57"/>
        <v>42462.035000000003</v>
      </c>
      <c r="G561" s="37">
        <f t="shared" si="58"/>
        <v>21655.637850000003</v>
      </c>
      <c r="H561" s="36" cm="1">
        <f t="array" ref="H561">SUMPRODUCT((C561&gt;tier_floor)*((C561-tier_floor)*step)*margin_rate)</f>
        <v>15030.637850000003</v>
      </c>
      <c r="I561" s="37">
        <f t="shared" si="59"/>
        <v>6625</v>
      </c>
      <c r="J561" s="38">
        <f t="shared" si="60"/>
        <v>2023</v>
      </c>
      <c r="K561" s="128">
        <f>(1+target)^($J561-(MIN(tbl_rep_mon[year])))</f>
        <v>1.3224999999999998</v>
      </c>
      <c r="L561" s="35">
        <f t="shared" si="61"/>
        <v>0.42</v>
      </c>
      <c r="M561" s="37">
        <f t="shared" si="62"/>
        <v>17834.054700000001</v>
      </c>
    </row>
    <row r="562" spans="1:13" x14ac:dyDescent="0.4">
      <c r="A562" t="s">
        <v>6</v>
      </c>
      <c r="B562">
        <v>2</v>
      </c>
      <c r="C562" s="36">
        <v>61942.18</v>
      </c>
      <c r="D562" s="1">
        <v>45047</v>
      </c>
      <c r="E562" s="35">
        <f t="shared" si="56"/>
        <v>0.42</v>
      </c>
      <c r="F562" s="37">
        <f t="shared" si="57"/>
        <v>30971.09</v>
      </c>
      <c r="G562" s="37">
        <f t="shared" si="58"/>
        <v>13007.8578</v>
      </c>
      <c r="H562" s="36" cm="1">
        <f t="array" ref="H562">SUMPRODUCT((C562&gt;tier_floor)*((C562-tier_floor)*step)*margin_rate)</f>
        <v>9757.8577999999998</v>
      </c>
      <c r="I562" s="37">
        <f t="shared" si="59"/>
        <v>3250</v>
      </c>
      <c r="J562" s="38">
        <f t="shared" si="60"/>
        <v>2023</v>
      </c>
      <c r="K562" s="128">
        <f>(1+target)^($J562-(MIN(tbl_rep_mon[year])))</f>
        <v>1.3224999999999998</v>
      </c>
      <c r="L562" s="35">
        <f t="shared" si="61"/>
        <v>0.33</v>
      </c>
      <c r="M562" s="37">
        <f t="shared" si="62"/>
        <v>10220.459700000001</v>
      </c>
    </row>
    <row r="563" spans="1:13" x14ac:dyDescent="0.4">
      <c r="A563" t="s">
        <v>7</v>
      </c>
      <c r="B563">
        <v>4</v>
      </c>
      <c r="C563" s="36">
        <v>63618.19</v>
      </c>
      <c r="D563" s="1">
        <v>45047</v>
      </c>
      <c r="E563" s="35">
        <f t="shared" si="56"/>
        <v>0.42</v>
      </c>
      <c r="F563" s="37">
        <f t="shared" si="57"/>
        <v>31809.095000000001</v>
      </c>
      <c r="G563" s="37">
        <f t="shared" si="58"/>
        <v>13359.8199</v>
      </c>
      <c r="H563" s="36" cm="1">
        <f t="array" ref="H563">SUMPRODUCT((C563&gt;tier_floor)*((C563-tier_floor)*step)*margin_rate)</f>
        <v>10109.8199</v>
      </c>
      <c r="I563" s="37">
        <f t="shared" si="59"/>
        <v>3250</v>
      </c>
      <c r="J563" s="38">
        <f t="shared" si="60"/>
        <v>2023</v>
      </c>
      <c r="K563" s="128">
        <f>(1+target)^($J563-(MIN(tbl_rep_mon[year])))</f>
        <v>1.3224999999999998</v>
      </c>
      <c r="L563" s="35">
        <f t="shared" si="61"/>
        <v>0.33</v>
      </c>
      <c r="M563" s="37">
        <f t="shared" si="62"/>
        <v>10497.00135</v>
      </c>
    </row>
    <row r="564" spans="1:13" x14ac:dyDescent="0.4">
      <c r="A564" t="s">
        <v>8</v>
      </c>
      <c r="B564">
        <v>4</v>
      </c>
      <c r="C564" s="36">
        <v>65651.399999999994</v>
      </c>
      <c r="D564" s="1">
        <v>45047</v>
      </c>
      <c r="E564" s="35">
        <f t="shared" si="56"/>
        <v>0.42</v>
      </c>
      <c r="F564" s="37">
        <f t="shared" si="57"/>
        <v>32825.699999999997</v>
      </c>
      <c r="G564" s="37">
        <f t="shared" si="58"/>
        <v>13786.793999999998</v>
      </c>
      <c r="H564" s="36" cm="1">
        <f t="array" ref="H564">SUMPRODUCT((C564&gt;tier_floor)*((C564-tier_floor)*step)*margin_rate)</f>
        <v>10536.794</v>
      </c>
      <c r="I564" s="37">
        <f t="shared" si="59"/>
        <v>3249.9999999999982</v>
      </c>
      <c r="J564" s="38">
        <f t="shared" si="60"/>
        <v>2023</v>
      </c>
      <c r="K564" s="128">
        <f>(1+target)^($J564-(MIN(tbl_rep_mon[year])))</f>
        <v>1.3224999999999998</v>
      </c>
      <c r="L564" s="35">
        <f t="shared" si="61"/>
        <v>0.33</v>
      </c>
      <c r="M564" s="37">
        <f t="shared" si="62"/>
        <v>10832.481</v>
      </c>
    </row>
    <row r="565" spans="1:13" x14ac:dyDescent="0.4">
      <c r="A565" t="s">
        <v>15</v>
      </c>
      <c r="B565">
        <v>3</v>
      </c>
      <c r="C565" s="36">
        <v>98260.96</v>
      </c>
      <c r="D565" s="1">
        <v>45047</v>
      </c>
      <c r="E565" s="35">
        <f t="shared" si="56"/>
        <v>0.51</v>
      </c>
      <c r="F565" s="37">
        <f t="shared" si="57"/>
        <v>49130.48</v>
      </c>
      <c r="G565" s="37">
        <f t="shared" si="58"/>
        <v>25056.544800000003</v>
      </c>
      <c r="H565" s="36" cm="1">
        <f t="array" ref="H565">SUMPRODUCT((C565&gt;tier_floor)*((C565-tier_floor)*step)*margin_rate)</f>
        <v>18431.544800000003</v>
      </c>
      <c r="I565" s="37">
        <f t="shared" si="59"/>
        <v>6625</v>
      </c>
      <c r="J565" s="38">
        <f t="shared" si="60"/>
        <v>2023</v>
      </c>
      <c r="K565" s="128">
        <f>(1+target)^($J565-(MIN(tbl_rep_mon[year])))</f>
        <v>1.3224999999999998</v>
      </c>
      <c r="L565" s="35">
        <f t="shared" si="61"/>
        <v>0.42</v>
      </c>
      <c r="M565" s="37">
        <f t="shared" si="62"/>
        <v>20634.801599999999</v>
      </c>
    </row>
    <row r="566" spans="1:13" x14ac:dyDescent="0.4">
      <c r="A566" t="s">
        <v>16</v>
      </c>
      <c r="B566">
        <v>3</v>
      </c>
      <c r="C566" s="36">
        <v>89488.2</v>
      </c>
      <c r="D566" s="1">
        <v>45047</v>
      </c>
      <c r="E566" s="35">
        <f t="shared" si="56"/>
        <v>0.51</v>
      </c>
      <c r="F566" s="37">
        <f t="shared" si="57"/>
        <v>44744.1</v>
      </c>
      <c r="G566" s="37">
        <f t="shared" si="58"/>
        <v>22819.490999999998</v>
      </c>
      <c r="H566" s="36" cm="1">
        <f t="array" ref="H566">SUMPRODUCT((C566&gt;tier_floor)*((C566-tier_floor)*step)*margin_rate)</f>
        <v>16194.490999999998</v>
      </c>
      <c r="I566" s="37">
        <f t="shared" si="59"/>
        <v>6625</v>
      </c>
      <c r="J566" s="38">
        <f t="shared" si="60"/>
        <v>2023</v>
      </c>
      <c r="K566" s="128">
        <f>(1+target)^($J566-(MIN(tbl_rep_mon[year])))</f>
        <v>1.3224999999999998</v>
      </c>
      <c r="L566" s="35">
        <f t="shared" si="61"/>
        <v>0.42</v>
      </c>
      <c r="M566" s="37">
        <f t="shared" si="62"/>
        <v>18792.521999999997</v>
      </c>
    </row>
    <row r="567" spans="1:13" x14ac:dyDescent="0.4">
      <c r="A567" t="s">
        <v>18</v>
      </c>
      <c r="B567">
        <v>3</v>
      </c>
      <c r="C567" s="36">
        <v>83440.639999999999</v>
      </c>
      <c r="D567" s="1">
        <v>45047</v>
      </c>
      <c r="E567" s="35">
        <f t="shared" si="56"/>
        <v>0.51</v>
      </c>
      <c r="F567" s="37">
        <f t="shared" si="57"/>
        <v>41720.32</v>
      </c>
      <c r="G567" s="37">
        <f t="shared" si="58"/>
        <v>21277.3632</v>
      </c>
      <c r="H567" s="36" cm="1">
        <f t="array" ref="H567">SUMPRODUCT((C567&gt;tier_floor)*((C567-tier_floor)*step)*margin_rate)</f>
        <v>14652.3632</v>
      </c>
      <c r="I567" s="37">
        <f t="shared" si="59"/>
        <v>6625</v>
      </c>
      <c r="J567" s="38">
        <f t="shared" si="60"/>
        <v>2023</v>
      </c>
      <c r="K567" s="128">
        <f>(1+target)^($J567-(MIN(tbl_rep_mon[year])))</f>
        <v>1.3224999999999998</v>
      </c>
      <c r="L567" s="35">
        <f t="shared" si="61"/>
        <v>0.42</v>
      </c>
      <c r="M567" s="37">
        <f t="shared" si="62"/>
        <v>17522.5344</v>
      </c>
    </row>
    <row r="568" spans="1:13" x14ac:dyDescent="0.4">
      <c r="A568" t="s">
        <v>19</v>
      </c>
      <c r="B568">
        <v>4</v>
      </c>
      <c r="C568" s="36">
        <v>70338.37</v>
      </c>
      <c r="D568" s="1">
        <v>45047</v>
      </c>
      <c r="E568" s="35">
        <f t="shared" si="56"/>
        <v>0.42</v>
      </c>
      <c r="F568" s="37">
        <f t="shared" si="57"/>
        <v>35169.184999999998</v>
      </c>
      <c r="G568" s="37">
        <f t="shared" si="58"/>
        <v>14771.057699999998</v>
      </c>
      <c r="H568" s="36" cm="1">
        <f t="array" ref="H568">SUMPRODUCT((C568&gt;tier_floor)*((C568-tier_floor)*step)*margin_rate)</f>
        <v>11521.057699999998</v>
      </c>
      <c r="I568" s="37">
        <f t="shared" si="59"/>
        <v>3250</v>
      </c>
      <c r="J568" s="38">
        <f t="shared" si="60"/>
        <v>2023</v>
      </c>
      <c r="K568" s="128">
        <f>(1+target)^($J568-(MIN(tbl_rep_mon[year])))</f>
        <v>1.3224999999999998</v>
      </c>
      <c r="L568" s="35">
        <f t="shared" si="61"/>
        <v>0.42</v>
      </c>
      <c r="M568" s="37">
        <f t="shared" si="62"/>
        <v>14771.057699999998</v>
      </c>
    </row>
    <row r="569" spans="1:13" x14ac:dyDescent="0.4">
      <c r="A569" t="s">
        <v>23</v>
      </c>
      <c r="B569">
        <v>1</v>
      </c>
      <c r="C569" s="36">
        <v>113192.21</v>
      </c>
      <c r="D569" s="1">
        <v>45047</v>
      </c>
      <c r="E569" s="35">
        <f t="shared" si="56"/>
        <v>0.6</v>
      </c>
      <c r="F569" s="37">
        <f t="shared" si="57"/>
        <v>56596.105000000003</v>
      </c>
      <c r="G569" s="37">
        <f t="shared" si="58"/>
        <v>33957.663</v>
      </c>
      <c r="H569" s="36" cm="1">
        <f t="array" ref="H569">SUMPRODUCT((C569&gt;tier_floor)*((C569-tier_floor)*step)*margin_rate)</f>
        <v>22832.663000000004</v>
      </c>
      <c r="I569" s="37">
        <f t="shared" si="59"/>
        <v>11124.999999999996</v>
      </c>
      <c r="J569" s="38">
        <f t="shared" si="60"/>
        <v>2023</v>
      </c>
      <c r="K569" s="128">
        <f>(1+target)^($J569-(MIN(tbl_rep_mon[year])))</f>
        <v>1.3224999999999998</v>
      </c>
      <c r="L569" s="35">
        <f t="shared" si="61"/>
        <v>0.51</v>
      </c>
      <c r="M569" s="37">
        <f t="shared" si="62"/>
        <v>28864.013550000003</v>
      </c>
    </row>
    <row r="570" spans="1:13" x14ac:dyDescent="0.4">
      <c r="A570" t="s">
        <v>24</v>
      </c>
      <c r="B570">
        <v>3</v>
      </c>
      <c r="C570" s="36">
        <v>79219.41</v>
      </c>
      <c r="D570" s="1">
        <v>45047</v>
      </c>
      <c r="E570" s="35">
        <f t="shared" si="56"/>
        <v>0.51</v>
      </c>
      <c r="F570" s="37">
        <f t="shared" si="57"/>
        <v>39609.705000000002</v>
      </c>
      <c r="G570" s="37">
        <f t="shared" si="58"/>
        <v>20200.949550000001</v>
      </c>
      <c r="H570" s="36" cm="1">
        <f t="array" ref="H570">SUMPRODUCT((C570&gt;tier_floor)*((C570-tier_floor)*step)*margin_rate)</f>
        <v>13575.949550000001</v>
      </c>
      <c r="I570" s="37">
        <f t="shared" si="59"/>
        <v>6625</v>
      </c>
      <c r="J570" s="38">
        <f t="shared" si="60"/>
        <v>2023</v>
      </c>
      <c r="K570" s="128">
        <f>(1+target)^($J570-(MIN(tbl_rep_mon[year])))</f>
        <v>1.3224999999999998</v>
      </c>
      <c r="L570" s="35">
        <f t="shared" si="61"/>
        <v>0.42</v>
      </c>
      <c r="M570" s="37">
        <f t="shared" si="62"/>
        <v>16636.076099999998</v>
      </c>
    </row>
    <row r="571" spans="1:13" x14ac:dyDescent="0.4">
      <c r="A571" t="s">
        <v>25</v>
      </c>
      <c r="B571">
        <v>2</v>
      </c>
      <c r="C571" s="36">
        <v>70085.73</v>
      </c>
      <c r="D571" s="1">
        <v>45047</v>
      </c>
      <c r="E571" s="35">
        <f t="shared" si="56"/>
        <v>0.42</v>
      </c>
      <c r="F571" s="37">
        <f t="shared" si="57"/>
        <v>35042.864999999998</v>
      </c>
      <c r="G571" s="37">
        <f t="shared" si="58"/>
        <v>14718.003299999998</v>
      </c>
      <c r="H571" s="36" cm="1">
        <f t="array" ref="H571">SUMPRODUCT((C571&gt;tier_floor)*((C571-tier_floor)*step)*margin_rate)</f>
        <v>11468.0033</v>
      </c>
      <c r="I571" s="37">
        <f t="shared" si="59"/>
        <v>3249.9999999999982</v>
      </c>
      <c r="J571" s="38">
        <f t="shared" si="60"/>
        <v>2023</v>
      </c>
      <c r="K571" s="128">
        <f>(1+target)^($J571-(MIN(tbl_rep_mon[year])))</f>
        <v>1.3224999999999998</v>
      </c>
      <c r="L571" s="35">
        <f t="shared" si="61"/>
        <v>0.42</v>
      </c>
      <c r="M571" s="37">
        <f t="shared" si="62"/>
        <v>14718.003299999998</v>
      </c>
    </row>
    <row r="572" spans="1:13" x14ac:dyDescent="0.4">
      <c r="A572" t="s">
        <v>26</v>
      </c>
      <c r="B572">
        <v>2</v>
      </c>
      <c r="C572" s="36">
        <v>76895.149999999994</v>
      </c>
      <c r="D572" s="1">
        <v>45047</v>
      </c>
      <c r="E572" s="35">
        <f t="shared" si="56"/>
        <v>0.51</v>
      </c>
      <c r="F572" s="37">
        <f t="shared" si="57"/>
        <v>38447.574999999997</v>
      </c>
      <c r="G572" s="37">
        <f t="shared" si="58"/>
        <v>19608.26325</v>
      </c>
      <c r="H572" s="36" cm="1">
        <f t="array" ref="H572">SUMPRODUCT((C572&gt;tier_floor)*((C572-tier_floor)*step)*margin_rate)</f>
        <v>12983.26325</v>
      </c>
      <c r="I572" s="37">
        <f t="shared" si="59"/>
        <v>6625</v>
      </c>
      <c r="J572" s="38">
        <f t="shared" si="60"/>
        <v>2023</v>
      </c>
      <c r="K572" s="128">
        <f>(1+target)^($J572-(MIN(tbl_rep_mon[year])))</f>
        <v>1.3224999999999998</v>
      </c>
      <c r="L572" s="35">
        <f t="shared" si="61"/>
        <v>0.42</v>
      </c>
      <c r="M572" s="37">
        <f t="shared" si="62"/>
        <v>16147.981499999998</v>
      </c>
    </row>
    <row r="573" spans="1:13" x14ac:dyDescent="0.4">
      <c r="A573" t="s">
        <v>29</v>
      </c>
      <c r="B573">
        <v>1</v>
      </c>
      <c r="C573" s="36">
        <v>84481.18</v>
      </c>
      <c r="D573" s="1">
        <v>45047</v>
      </c>
      <c r="E573" s="35">
        <f t="shared" si="56"/>
        <v>0.51</v>
      </c>
      <c r="F573" s="37">
        <f t="shared" si="57"/>
        <v>42240.59</v>
      </c>
      <c r="G573" s="37">
        <f t="shared" si="58"/>
        <v>21542.7009</v>
      </c>
      <c r="H573" s="36" cm="1">
        <f t="array" ref="H573">SUMPRODUCT((C573&gt;tier_floor)*((C573-tier_floor)*step)*margin_rate)</f>
        <v>14917.700899999998</v>
      </c>
      <c r="I573" s="37">
        <f t="shared" si="59"/>
        <v>6625.0000000000018</v>
      </c>
      <c r="J573" s="38">
        <f t="shared" si="60"/>
        <v>2023</v>
      </c>
      <c r="K573" s="128">
        <f>(1+target)^($J573-(MIN(tbl_rep_mon[year])))</f>
        <v>1.3224999999999998</v>
      </c>
      <c r="L573" s="35">
        <f t="shared" si="61"/>
        <v>0.42</v>
      </c>
      <c r="M573" s="37">
        <f t="shared" si="62"/>
        <v>17741.047799999997</v>
      </c>
    </row>
    <row r="574" spans="1:13" x14ac:dyDescent="0.4">
      <c r="A574" t="s">
        <v>32</v>
      </c>
      <c r="B574">
        <v>4</v>
      </c>
      <c r="C574" s="36">
        <v>73652.25</v>
      </c>
      <c r="D574" s="1">
        <v>45047</v>
      </c>
      <c r="E574" s="35">
        <f t="shared" si="56"/>
        <v>0.42</v>
      </c>
      <c r="F574" s="37">
        <f t="shared" si="57"/>
        <v>36826.125</v>
      </c>
      <c r="G574" s="37">
        <f t="shared" si="58"/>
        <v>15466.9725</v>
      </c>
      <c r="H574" s="36" cm="1">
        <f t="array" ref="H574">SUMPRODUCT((C574&gt;tier_floor)*((C574-tier_floor)*step)*margin_rate)</f>
        <v>12216.9725</v>
      </c>
      <c r="I574" s="37">
        <f t="shared" si="59"/>
        <v>3250</v>
      </c>
      <c r="J574" s="38">
        <f t="shared" si="60"/>
        <v>2023</v>
      </c>
      <c r="K574" s="128">
        <f>(1+target)^($J574-(MIN(tbl_rep_mon[year])))</f>
        <v>1.3224999999999998</v>
      </c>
      <c r="L574" s="35">
        <f t="shared" si="61"/>
        <v>0.42</v>
      </c>
      <c r="M574" s="37">
        <f t="shared" si="62"/>
        <v>15466.9725</v>
      </c>
    </row>
    <row r="575" spans="1:13" x14ac:dyDescent="0.4">
      <c r="A575" t="s">
        <v>33</v>
      </c>
      <c r="B575">
        <v>3</v>
      </c>
      <c r="C575" s="36">
        <v>70812.41</v>
      </c>
      <c r="D575" s="1">
        <v>45047</v>
      </c>
      <c r="E575" s="35">
        <f t="shared" si="56"/>
        <v>0.42</v>
      </c>
      <c r="F575" s="37">
        <f t="shared" si="57"/>
        <v>35406.205000000002</v>
      </c>
      <c r="G575" s="37">
        <f t="shared" si="58"/>
        <v>14870.606100000001</v>
      </c>
      <c r="H575" s="36" cm="1">
        <f t="array" ref="H575">SUMPRODUCT((C575&gt;tier_floor)*((C575-tier_floor)*step)*margin_rate)</f>
        <v>11620.606100000001</v>
      </c>
      <c r="I575" s="37">
        <f t="shared" si="59"/>
        <v>3250</v>
      </c>
      <c r="J575" s="38">
        <f t="shared" si="60"/>
        <v>2023</v>
      </c>
      <c r="K575" s="128">
        <f>(1+target)^($J575-(MIN(tbl_rep_mon[year])))</f>
        <v>1.3224999999999998</v>
      </c>
      <c r="L575" s="35">
        <f t="shared" si="61"/>
        <v>0.42</v>
      </c>
      <c r="M575" s="37">
        <f t="shared" si="62"/>
        <v>14870.606100000001</v>
      </c>
    </row>
    <row r="576" spans="1:13" x14ac:dyDescent="0.4">
      <c r="A576" t="s">
        <v>34</v>
      </c>
      <c r="B576">
        <v>4</v>
      </c>
      <c r="C576" s="36">
        <v>65411.43</v>
      </c>
      <c r="D576" s="1">
        <v>45047</v>
      </c>
      <c r="E576" s="35">
        <f t="shared" si="56"/>
        <v>0.42</v>
      </c>
      <c r="F576" s="37">
        <f t="shared" si="57"/>
        <v>32705.715</v>
      </c>
      <c r="G576" s="37">
        <f t="shared" si="58"/>
        <v>13736.400299999999</v>
      </c>
      <c r="H576" s="36" cm="1">
        <f t="array" ref="H576">SUMPRODUCT((C576&gt;tier_floor)*((C576-tier_floor)*step)*margin_rate)</f>
        <v>10486.400299999999</v>
      </c>
      <c r="I576" s="37">
        <f t="shared" si="59"/>
        <v>3250</v>
      </c>
      <c r="J576" s="38">
        <f t="shared" si="60"/>
        <v>2023</v>
      </c>
      <c r="K576" s="128">
        <f>(1+target)^($J576-(MIN(tbl_rep_mon[year])))</f>
        <v>1.3224999999999998</v>
      </c>
      <c r="L576" s="35">
        <f t="shared" si="61"/>
        <v>0.33</v>
      </c>
      <c r="M576" s="37">
        <f t="shared" si="62"/>
        <v>10792.88595</v>
      </c>
    </row>
    <row r="577" spans="1:13" x14ac:dyDescent="0.4">
      <c r="A577" t="s">
        <v>35</v>
      </c>
      <c r="B577">
        <v>4</v>
      </c>
      <c r="C577" s="36">
        <v>58101.43</v>
      </c>
      <c r="D577" s="1">
        <v>45047</v>
      </c>
      <c r="E577" s="35">
        <f t="shared" si="56"/>
        <v>0.42</v>
      </c>
      <c r="F577" s="37">
        <f t="shared" si="57"/>
        <v>29050.715</v>
      </c>
      <c r="G577" s="37">
        <f t="shared" si="58"/>
        <v>12201.300299999999</v>
      </c>
      <c r="H577" s="36" cm="1">
        <f t="array" ref="H577">SUMPRODUCT((C577&gt;tier_floor)*((C577-tier_floor)*step)*margin_rate)</f>
        <v>8951.3003000000008</v>
      </c>
      <c r="I577" s="37">
        <f t="shared" si="59"/>
        <v>3249.9999999999982</v>
      </c>
      <c r="J577" s="38">
        <f t="shared" si="60"/>
        <v>2023</v>
      </c>
      <c r="K577" s="128">
        <f>(1+target)^($J577-(MIN(tbl_rep_mon[year])))</f>
        <v>1.3224999999999998</v>
      </c>
      <c r="L577" s="35">
        <f t="shared" si="61"/>
        <v>0.33</v>
      </c>
      <c r="M577" s="37">
        <f t="shared" si="62"/>
        <v>9586.7359500000002</v>
      </c>
    </row>
    <row r="578" spans="1:13" x14ac:dyDescent="0.4">
      <c r="A578" t="s">
        <v>37</v>
      </c>
      <c r="B578">
        <v>4</v>
      </c>
      <c r="C578" s="36">
        <v>63321.42</v>
      </c>
      <c r="D578" s="1">
        <v>45047</v>
      </c>
      <c r="E578" s="35">
        <f t="shared" ref="E578:E641" si="63">_xlfn.XLOOKUP(C578,tier_floor,tier_rate,,-1)</f>
        <v>0.42</v>
      </c>
      <c r="F578" s="37">
        <f t="shared" ref="F578:F641" si="64">C578*margin_rate</f>
        <v>31660.71</v>
      </c>
      <c r="G578" s="37">
        <f t="shared" ref="G578:G641" si="65">F578*E578</f>
        <v>13297.4982</v>
      </c>
      <c r="H578" s="36" cm="1">
        <f t="array" ref="H578">SUMPRODUCT((C578&gt;tier_floor)*((C578-tier_floor)*step)*margin_rate)</f>
        <v>10047.498199999998</v>
      </c>
      <c r="I578" s="37">
        <f t="shared" ref="I578:I641" si="66">G578-H578</f>
        <v>3250.0000000000018</v>
      </c>
      <c r="J578" s="38">
        <f t="shared" ref="J578:J641" si="67">YEAR(D578)</f>
        <v>2023</v>
      </c>
      <c r="K578" s="128">
        <f>(1+target)^($J578-(MIN(tbl_rep_mon[year])))</f>
        <v>1.3224999999999998</v>
      </c>
      <c r="L578" s="35">
        <f t="shared" ref="L578:L641" si="68">_xlfn.XLOOKUP(($C578/$K578),tier_floor,tier_rate,,-1)</f>
        <v>0.33</v>
      </c>
      <c r="M578" s="37">
        <f t="shared" ref="M578:M641" si="69">$F578*$L578</f>
        <v>10448.034299999999</v>
      </c>
    </row>
    <row r="579" spans="1:13" x14ac:dyDescent="0.4">
      <c r="A579" t="s">
        <v>38</v>
      </c>
      <c r="B579">
        <v>2</v>
      </c>
      <c r="C579" s="36">
        <v>99542.7</v>
      </c>
      <c r="D579" s="1">
        <v>45047</v>
      </c>
      <c r="E579" s="35">
        <f t="shared" si="63"/>
        <v>0.51</v>
      </c>
      <c r="F579" s="37">
        <f t="shared" si="64"/>
        <v>49771.35</v>
      </c>
      <c r="G579" s="37">
        <f t="shared" si="65"/>
        <v>25383.388500000001</v>
      </c>
      <c r="H579" s="36" cm="1">
        <f t="array" ref="H579">SUMPRODUCT((C579&gt;tier_floor)*((C579-tier_floor)*step)*margin_rate)</f>
        <v>18758.388500000001</v>
      </c>
      <c r="I579" s="37">
        <f t="shared" si="66"/>
        <v>6625</v>
      </c>
      <c r="J579" s="38">
        <f t="shared" si="67"/>
        <v>2023</v>
      </c>
      <c r="K579" s="128">
        <f>(1+target)^($J579-(MIN(tbl_rep_mon[year])))</f>
        <v>1.3224999999999998</v>
      </c>
      <c r="L579" s="35">
        <f t="shared" si="68"/>
        <v>0.51</v>
      </c>
      <c r="M579" s="37">
        <f t="shared" si="69"/>
        <v>25383.388500000001</v>
      </c>
    </row>
    <row r="580" spans="1:13" x14ac:dyDescent="0.4">
      <c r="A580" t="s">
        <v>39</v>
      </c>
      <c r="B580">
        <v>2</v>
      </c>
      <c r="C580" s="36">
        <v>35028.81</v>
      </c>
      <c r="D580" s="1">
        <v>45047</v>
      </c>
      <c r="E580" s="35">
        <f t="shared" si="63"/>
        <v>0.33</v>
      </c>
      <c r="F580" s="37">
        <f t="shared" si="64"/>
        <v>17514.404999999999</v>
      </c>
      <c r="G580" s="37">
        <f t="shared" si="65"/>
        <v>5779.7536499999997</v>
      </c>
      <c r="H580" s="36" cm="1">
        <f t="array" ref="H580">SUMPRODUCT((C580&gt;tier_floor)*((C580-tier_floor)*step)*margin_rate)</f>
        <v>4779.7536499999997</v>
      </c>
      <c r="I580" s="37">
        <f t="shared" si="66"/>
        <v>1000</v>
      </c>
      <c r="J580" s="38">
        <f t="shared" si="67"/>
        <v>2023</v>
      </c>
      <c r="K580" s="128">
        <f>(1+target)^($J580-(MIN(tbl_rep_mon[year])))</f>
        <v>1.3224999999999998</v>
      </c>
      <c r="L580" s="35">
        <f t="shared" si="68"/>
        <v>0.33</v>
      </c>
      <c r="M580" s="37">
        <f t="shared" si="69"/>
        <v>5779.7536499999997</v>
      </c>
    </row>
    <row r="581" spans="1:13" x14ac:dyDescent="0.4">
      <c r="A581" t="s">
        <v>40</v>
      </c>
      <c r="B581">
        <v>4</v>
      </c>
      <c r="C581" s="36">
        <v>13493.65</v>
      </c>
      <c r="D581" s="1">
        <v>45047</v>
      </c>
      <c r="E581" s="35">
        <f t="shared" si="63"/>
        <v>0.25</v>
      </c>
      <c r="F581" s="37">
        <f t="shared" si="64"/>
        <v>6746.8249999999998</v>
      </c>
      <c r="G581" s="37">
        <f t="shared" si="65"/>
        <v>1686.70625</v>
      </c>
      <c r="H581" s="36" cm="1">
        <f t="array" ref="H581">SUMPRODUCT((C581&gt;tier_floor)*((C581-tier_floor)*step)*margin_rate)</f>
        <v>1686.70625</v>
      </c>
      <c r="I581" s="37">
        <f t="shared" si="66"/>
        <v>0</v>
      </c>
      <c r="J581" s="38">
        <f t="shared" si="67"/>
        <v>2023</v>
      </c>
      <c r="K581" s="128">
        <f>(1+target)^($J581-(MIN(tbl_rep_mon[year])))</f>
        <v>1.3224999999999998</v>
      </c>
      <c r="L581" s="35">
        <f t="shared" si="68"/>
        <v>0.25</v>
      </c>
      <c r="M581" s="37">
        <f t="shared" si="69"/>
        <v>1686.70625</v>
      </c>
    </row>
    <row r="582" spans="1:13" x14ac:dyDescent="0.4">
      <c r="A582" t="s">
        <v>6</v>
      </c>
      <c r="B582">
        <v>2</v>
      </c>
      <c r="C582" s="36">
        <v>52140.23</v>
      </c>
      <c r="D582" s="1">
        <v>45078</v>
      </c>
      <c r="E582" s="35">
        <f t="shared" si="63"/>
        <v>0.42</v>
      </c>
      <c r="F582" s="37">
        <f t="shared" si="64"/>
        <v>26070.115000000002</v>
      </c>
      <c r="G582" s="37">
        <f t="shared" si="65"/>
        <v>10949.4483</v>
      </c>
      <c r="H582" s="36" cm="1">
        <f t="array" ref="H582">SUMPRODUCT((C582&gt;tier_floor)*((C582-tier_floor)*step)*margin_rate)</f>
        <v>7699.4483</v>
      </c>
      <c r="I582" s="37">
        <f t="shared" si="66"/>
        <v>3250</v>
      </c>
      <c r="J582" s="38">
        <f t="shared" si="67"/>
        <v>2023</v>
      </c>
      <c r="K582" s="128">
        <f>(1+target)^($J582-(MIN(tbl_rep_mon[year])))</f>
        <v>1.3224999999999998</v>
      </c>
      <c r="L582" s="35">
        <f t="shared" si="68"/>
        <v>0.33</v>
      </c>
      <c r="M582" s="37">
        <f t="shared" si="69"/>
        <v>8603.1379500000003</v>
      </c>
    </row>
    <row r="583" spans="1:13" x14ac:dyDescent="0.4">
      <c r="A583" t="s">
        <v>7</v>
      </c>
      <c r="B583">
        <v>4</v>
      </c>
      <c r="C583" s="36">
        <v>46489.89</v>
      </c>
      <c r="D583" s="1">
        <v>45078</v>
      </c>
      <c r="E583" s="35">
        <f t="shared" si="63"/>
        <v>0.33</v>
      </c>
      <c r="F583" s="37">
        <f t="shared" si="64"/>
        <v>23244.945</v>
      </c>
      <c r="G583" s="37">
        <f t="shared" si="65"/>
        <v>7670.8318500000005</v>
      </c>
      <c r="H583" s="36" cm="1">
        <f t="array" ref="H583">SUMPRODUCT((C583&gt;tier_floor)*((C583-tier_floor)*step)*margin_rate)</f>
        <v>6670.8318500000005</v>
      </c>
      <c r="I583" s="37">
        <f t="shared" si="66"/>
        <v>1000</v>
      </c>
      <c r="J583" s="38">
        <f t="shared" si="67"/>
        <v>2023</v>
      </c>
      <c r="K583" s="128">
        <f>(1+target)^($J583-(MIN(tbl_rep_mon[year])))</f>
        <v>1.3224999999999998</v>
      </c>
      <c r="L583" s="35">
        <f t="shared" si="68"/>
        <v>0.33</v>
      </c>
      <c r="M583" s="37">
        <f t="shared" si="69"/>
        <v>7670.8318500000005</v>
      </c>
    </row>
    <row r="584" spans="1:13" x14ac:dyDescent="0.4">
      <c r="A584" t="s">
        <v>8</v>
      </c>
      <c r="B584">
        <v>4</v>
      </c>
      <c r="C584" s="36">
        <v>70884.59</v>
      </c>
      <c r="D584" s="1">
        <v>45078</v>
      </c>
      <c r="E584" s="35">
        <f t="shared" si="63"/>
        <v>0.42</v>
      </c>
      <c r="F584" s="37">
        <f t="shared" si="64"/>
        <v>35442.294999999998</v>
      </c>
      <c r="G584" s="37">
        <f t="shared" si="65"/>
        <v>14885.763899999998</v>
      </c>
      <c r="H584" s="36" cm="1">
        <f t="array" ref="H584">SUMPRODUCT((C584&gt;tier_floor)*((C584-tier_floor)*step)*margin_rate)</f>
        <v>11635.7639</v>
      </c>
      <c r="I584" s="37">
        <f t="shared" si="66"/>
        <v>3249.9999999999982</v>
      </c>
      <c r="J584" s="38">
        <f t="shared" si="67"/>
        <v>2023</v>
      </c>
      <c r="K584" s="128">
        <f>(1+target)^($J584-(MIN(tbl_rep_mon[year])))</f>
        <v>1.3224999999999998</v>
      </c>
      <c r="L584" s="35">
        <f t="shared" si="68"/>
        <v>0.42</v>
      </c>
      <c r="M584" s="37">
        <f t="shared" si="69"/>
        <v>14885.763899999998</v>
      </c>
    </row>
    <row r="585" spans="1:13" x14ac:dyDescent="0.4">
      <c r="A585" t="s">
        <v>15</v>
      </c>
      <c r="B585">
        <v>3</v>
      </c>
      <c r="C585" s="36">
        <v>68235.210000000006</v>
      </c>
      <c r="D585" s="1">
        <v>45078</v>
      </c>
      <c r="E585" s="35">
        <f t="shared" si="63"/>
        <v>0.42</v>
      </c>
      <c r="F585" s="37">
        <f t="shared" si="64"/>
        <v>34117.605000000003</v>
      </c>
      <c r="G585" s="37">
        <f t="shared" si="65"/>
        <v>14329.394100000001</v>
      </c>
      <c r="H585" s="36" cm="1">
        <f t="array" ref="H585">SUMPRODUCT((C585&gt;tier_floor)*((C585-tier_floor)*step)*margin_rate)</f>
        <v>11079.394100000001</v>
      </c>
      <c r="I585" s="37">
        <f t="shared" si="66"/>
        <v>3250</v>
      </c>
      <c r="J585" s="38">
        <f t="shared" si="67"/>
        <v>2023</v>
      </c>
      <c r="K585" s="128">
        <f>(1+target)^($J585-(MIN(tbl_rep_mon[year])))</f>
        <v>1.3224999999999998</v>
      </c>
      <c r="L585" s="35">
        <f t="shared" si="68"/>
        <v>0.42</v>
      </c>
      <c r="M585" s="37">
        <f t="shared" si="69"/>
        <v>14329.394100000001</v>
      </c>
    </row>
    <row r="586" spans="1:13" x14ac:dyDescent="0.4">
      <c r="A586" t="s">
        <v>16</v>
      </c>
      <c r="B586">
        <v>3</v>
      </c>
      <c r="C586" s="36">
        <v>95255.19</v>
      </c>
      <c r="D586" s="1">
        <v>45078</v>
      </c>
      <c r="E586" s="35">
        <f t="shared" si="63"/>
        <v>0.51</v>
      </c>
      <c r="F586" s="37">
        <f t="shared" si="64"/>
        <v>47627.595000000001</v>
      </c>
      <c r="G586" s="37">
        <f t="shared" si="65"/>
        <v>24290.07345</v>
      </c>
      <c r="H586" s="36" cm="1">
        <f t="array" ref="H586">SUMPRODUCT((C586&gt;tier_floor)*((C586-tier_floor)*step)*margin_rate)</f>
        <v>17665.073450000004</v>
      </c>
      <c r="I586" s="37">
        <f t="shared" si="66"/>
        <v>6624.9999999999964</v>
      </c>
      <c r="J586" s="38">
        <f t="shared" si="67"/>
        <v>2023</v>
      </c>
      <c r="K586" s="128">
        <f>(1+target)^($J586-(MIN(tbl_rep_mon[year])))</f>
        <v>1.3224999999999998</v>
      </c>
      <c r="L586" s="35">
        <f t="shared" si="68"/>
        <v>0.42</v>
      </c>
      <c r="M586" s="37">
        <f t="shared" si="69"/>
        <v>20003.589899999999</v>
      </c>
    </row>
    <row r="587" spans="1:13" x14ac:dyDescent="0.4">
      <c r="A587" t="s">
        <v>18</v>
      </c>
      <c r="B587">
        <v>3</v>
      </c>
      <c r="C587" s="36">
        <v>81597.58</v>
      </c>
      <c r="D587" s="1">
        <v>45078</v>
      </c>
      <c r="E587" s="35">
        <f t="shared" si="63"/>
        <v>0.51</v>
      </c>
      <c r="F587" s="37">
        <f t="shared" si="64"/>
        <v>40798.79</v>
      </c>
      <c r="G587" s="37">
        <f t="shared" si="65"/>
        <v>20807.382900000001</v>
      </c>
      <c r="H587" s="36" cm="1">
        <f t="array" ref="H587">SUMPRODUCT((C587&gt;tier_floor)*((C587-tier_floor)*step)*margin_rate)</f>
        <v>14182.382900000001</v>
      </c>
      <c r="I587" s="37">
        <f t="shared" si="66"/>
        <v>6625</v>
      </c>
      <c r="J587" s="38">
        <f t="shared" si="67"/>
        <v>2023</v>
      </c>
      <c r="K587" s="128">
        <f>(1+target)^($J587-(MIN(tbl_rep_mon[year])))</f>
        <v>1.3224999999999998</v>
      </c>
      <c r="L587" s="35">
        <f t="shared" si="68"/>
        <v>0.42</v>
      </c>
      <c r="M587" s="37">
        <f t="shared" si="69"/>
        <v>17135.4918</v>
      </c>
    </row>
    <row r="588" spans="1:13" x14ac:dyDescent="0.4">
      <c r="A588" t="s">
        <v>19</v>
      </c>
      <c r="B588">
        <v>4</v>
      </c>
      <c r="C588" s="36">
        <v>71284.63</v>
      </c>
      <c r="D588" s="1">
        <v>45078</v>
      </c>
      <c r="E588" s="35">
        <f t="shared" si="63"/>
        <v>0.42</v>
      </c>
      <c r="F588" s="37">
        <f t="shared" si="64"/>
        <v>35642.315000000002</v>
      </c>
      <c r="G588" s="37">
        <f t="shared" si="65"/>
        <v>14969.772300000001</v>
      </c>
      <c r="H588" s="36" cm="1">
        <f t="array" ref="H588">SUMPRODUCT((C588&gt;tier_floor)*((C588-tier_floor)*step)*margin_rate)</f>
        <v>11719.772300000001</v>
      </c>
      <c r="I588" s="37">
        <f t="shared" si="66"/>
        <v>3250</v>
      </c>
      <c r="J588" s="38">
        <f t="shared" si="67"/>
        <v>2023</v>
      </c>
      <c r="K588" s="128">
        <f>(1+target)^($J588-(MIN(tbl_rep_mon[year])))</f>
        <v>1.3224999999999998</v>
      </c>
      <c r="L588" s="35">
        <f t="shared" si="68"/>
        <v>0.42</v>
      </c>
      <c r="M588" s="37">
        <f t="shared" si="69"/>
        <v>14969.772300000001</v>
      </c>
    </row>
    <row r="589" spans="1:13" x14ac:dyDescent="0.4">
      <c r="A589" t="s">
        <v>23</v>
      </c>
      <c r="B589">
        <v>1</v>
      </c>
      <c r="C589" s="36">
        <v>130156.81</v>
      </c>
      <c r="D589" s="1">
        <v>45078</v>
      </c>
      <c r="E589" s="35">
        <f t="shared" si="63"/>
        <v>0.6</v>
      </c>
      <c r="F589" s="37">
        <f t="shared" si="64"/>
        <v>65078.404999999999</v>
      </c>
      <c r="G589" s="37">
        <f t="shared" si="65"/>
        <v>39047.042999999998</v>
      </c>
      <c r="H589" s="36" cm="1">
        <f t="array" ref="H589">SUMPRODUCT((C589&gt;tier_floor)*((C589-tier_floor)*step)*margin_rate)</f>
        <v>27922.043000000001</v>
      </c>
      <c r="I589" s="37">
        <f t="shared" si="66"/>
        <v>11124.999999999996</v>
      </c>
      <c r="J589" s="38">
        <f t="shared" si="67"/>
        <v>2023</v>
      </c>
      <c r="K589" s="128">
        <f>(1+target)^($J589-(MIN(tbl_rep_mon[year])))</f>
        <v>1.3224999999999998</v>
      </c>
      <c r="L589" s="35">
        <f t="shared" si="68"/>
        <v>0.51</v>
      </c>
      <c r="M589" s="37">
        <f t="shared" si="69"/>
        <v>33189.986550000001</v>
      </c>
    </row>
    <row r="590" spans="1:13" x14ac:dyDescent="0.4">
      <c r="A590" t="s">
        <v>24</v>
      </c>
      <c r="B590">
        <v>3</v>
      </c>
      <c r="C590" s="36">
        <v>68084.960000000006</v>
      </c>
      <c r="D590" s="1">
        <v>45078</v>
      </c>
      <c r="E590" s="35">
        <f t="shared" si="63"/>
        <v>0.42</v>
      </c>
      <c r="F590" s="37">
        <f t="shared" si="64"/>
        <v>34042.480000000003</v>
      </c>
      <c r="G590" s="37">
        <f t="shared" si="65"/>
        <v>14297.841600000002</v>
      </c>
      <c r="H590" s="36" cm="1">
        <f t="array" ref="H590">SUMPRODUCT((C590&gt;tier_floor)*((C590-tier_floor)*step)*margin_rate)</f>
        <v>11047.841600000002</v>
      </c>
      <c r="I590" s="37">
        <f t="shared" si="66"/>
        <v>3250</v>
      </c>
      <c r="J590" s="38">
        <f t="shared" si="67"/>
        <v>2023</v>
      </c>
      <c r="K590" s="128">
        <f>(1+target)^($J590-(MIN(tbl_rep_mon[year])))</f>
        <v>1.3224999999999998</v>
      </c>
      <c r="L590" s="35">
        <f t="shared" si="68"/>
        <v>0.42</v>
      </c>
      <c r="M590" s="37">
        <f t="shared" si="69"/>
        <v>14297.841600000002</v>
      </c>
    </row>
    <row r="591" spans="1:13" x14ac:dyDescent="0.4">
      <c r="A591" t="s">
        <v>25</v>
      </c>
      <c r="B591">
        <v>2</v>
      </c>
      <c r="C591" s="36">
        <v>80803.66</v>
      </c>
      <c r="D591" s="1">
        <v>45078</v>
      </c>
      <c r="E591" s="35">
        <f t="shared" si="63"/>
        <v>0.51</v>
      </c>
      <c r="F591" s="37">
        <f t="shared" si="64"/>
        <v>40401.83</v>
      </c>
      <c r="G591" s="37">
        <f t="shared" si="65"/>
        <v>20604.933300000001</v>
      </c>
      <c r="H591" s="36" cm="1">
        <f t="array" ref="H591">SUMPRODUCT((C591&gt;tier_floor)*((C591-tier_floor)*step)*margin_rate)</f>
        <v>13979.933300000001</v>
      </c>
      <c r="I591" s="37">
        <f t="shared" si="66"/>
        <v>6625</v>
      </c>
      <c r="J591" s="38">
        <f t="shared" si="67"/>
        <v>2023</v>
      </c>
      <c r="K591" s="128">
        <f>(1+target)^($J591-(MIN(tbl_rep_mon[year])))</f>
        <v>1.3224999999999998</v>
      </c>
      <c r="L591" s="35">
        <f t="shared" si="68"/>
        <v>0.42</v>
      </c>
      <c r="M591" s="37">
        <f t="shared" si="69"/>
        <v>16968.768599999999</v>
      </c>
    </row>
    <row r="592" spans="1:13" x14ac:dyDescent="0.4">
      <c r="A592" t="s">
        <v>26</v>
      </c>
      <c r="B592">
        <v>2</v>
      </c>
      <c r="C592" s="36">
        <v>106504.71</v>
      </c>
      <c r="D592" s="1">
        <v>45078</v>
      </c>
      <c r="E592" s="35">
        <f t="shared" si="63"/>
        <v>0.6</v>
      </c>
      <c r="F592" s="37">
        <f t="shared" si="64"/>
        <v>53252.355000000003</v>
      </c>
      <c r="G592" s="37">
        <f t="shared" si="65"/>
        <v>31951.413</v>
      </c>
      <c r="H592" s="36" cm="1">
        <f t="array" ref="H592">SUMPRODUCT((C592&gt;tier_floor)*((C592-tier_floor)*step)*margin_rate)</f>
        <v>20826.413000000004</v>
      </c>
      <c r="I592" s="37">
        <f t="shared" si="66"/>
        <v>11124.999999999996</v>
      </c>
      <c r="J592" s="38">
        <f t="shared" si="67"/>
        <v>2023</v>
      </c>
      <c r="K592" s="128">
        <f>(1+target)^($J592-(MIN(tbl_rep_mon[year])))</f>
        <v>1.3224999999999998</v>
      </c>
      <c r="L592" s="35">
        <f t="shared" si="68"/>
        <v>0.51</v>
      </c>
      <c r="M592" s="37">
        <f t="shared" si="69"/>
        <v>27158.701050000003</v>
      </c>
    </row>
    <row r="593" spans="1:13" x14ac:dyDescent="0.4">
      <c r="A593" t="s">
        <v>29</v>
      </c>
      <c r="B593">
        <v>1</v>
      </c>
      <c r="C593" s="36">
        <v>97508.79</v>
      </c>
      <c r="D593" s="1">
        <v>45078</v>
      </c>
      <c r="E593" s="35">
        <f t="shared" si="63"/>
        <v>0.51</v>
      </c>
      <c r="F593" s="37">
        <f t="shared" si="64"/>
        <v>48754.394999999997</v>
      </c>
      <c r="G593" s="37">
        <f t="shared" si="65"/>
        <v>24864.741449999998</v>
      </c>
      <c r="H593" s="36" cm="1">
        <f t="array" ref="H593">SUMPRODUCT((C593&gt;tier_floor)*((C593-tier_floor)*step)*margin_rate)</f>
        <v>18239.741449999998</v>
      </c>
      <c r="I593" s="37">
        <f t="shared" si="66"/>
        <v>6625</v>
      </c>
      <c r="J593" s="38">
        <f t="shared" si="67"/>
        <v>2023</v>
      </c>
      <c r="K593" s="128">
        <f>(1+target)^($J593-(MIN(tbl_rep_mon[year])))</f>
        <v>1.3224999999999998</v>
      </c>
      <c r="L593" s="35">
        <f t="shared" si="68"/>
        <v>0.42</v>
      </c>
      <c r="M593" s="37">
        <f t="shared" si="69"/>
        <v>20476.845899999997</v>
      </c>
    </row>
    <row r="594" spans="1:13" x14ac:dyDescent="0.4">
      <c r="A594" t="s">
        <v>32</v>
      </c>
      <c r="B594">
        <v>4</v>
      </c>
      <c r="C594" s="36">
        <v>64486.36</v>
      </c>
      <c r="D594" s="1">
        <v>45078</v>
      </c>
      <c r="E594" s="35">
        <f t="shared" si="63"/>
        <v>0.42</v>
      </c>
      <c r="F594" s="37">
        <f t="shared" si="64"/>
        <v>32243.18</v>
      </c>
      <c r="G594" s="37">
        <f t="shared" si="65"/>
        <v>13542.1356</v>
      </c>
      <c r="H594" s="36" cm="1">
        <f t="array" ref="H594">SUMPRODUCT((C594&gt;tier_floor)*((C594-tier_floor)*step)*margin_rate)</f>
        <v>10292.1356</v>
      </c>
      <c r="I594" s="37">
        <f t="shared" si="66"/>
        <v>3250</v>
      </c>
      <c r="J594" s="38">
        <f t="shared" si="67"/>
        <v>2023</v>
      </c>
      <c r="K594" s="128">
        <f>(1+target)^($J594-(MIN(tbl_rep_mon[year])))</f>
        <v>1.3224999999999998</v>
      </c>
      <c r="L594" s="35">
        <f t="shared" si="68"/>
        <v>0.33</v>
      </c>
      <c r="M594" s="37">
        <f t="shared" si="69"/>
        <v>10640.249400000001</v>
      </c>
    </row>
    <row r="595" spans="1:13" x14ac:dyDescent="0.4">
      <c r="A595" t="s">
        <v>33</v>
      </c>
      <c r="B595">
        <v>3</v>
      </c>
      <c r="C595" s="36">
        <v>60413.08</v>
      </c>
      <c r="D595" s="1">
        <v>45078</v>
      </c>
      <c r="E595" s="35">
        <f t="shared" si="63"/>
        <v>0.42</v>
      </c>
      <c r="F595" s="37">
        <f t="shared" si="64"/>
        <v>30206.54</v>
      </c>
      <c r="G595" s="37">
        <f t="shared" si="65"/>
        <v>12686.746800000001</v>
      </c>
      <c r="H595" s="36" cm="1">
        <f t="array" ref="H595">SUMPRODUCT((C595&gt;tier_floor)*((C595-tier_floor)*step)*margin_rate)</f>
        <v>9436.746799999999</v>
      </c>
      <c r="I595" s="37">
        <f t="shared" si="66"/>
        <v>3250.0000000000018</v>
      </c>
      <c r="J595" s="38">
        <f t="shared" si="67"/>
        <v>2023</v>
      </c>
      <c r="K595" s="128">
        <f>(1+target)^($J595-(MIN(tbl_rep_mon[year])))</f>
        <v>1.3224999999999998</v>
      </c>
      <c r="L595" s="35">
        <f t="shared" si="68"/>
        <v>0.33</v>
      </c>
      <c r="M595" s="37">
        <f t="shared" si="69"/>
        <v>9968.1581999999999</v>
      </c>
    </row>
    <row r="596" spans="1:13" x14ac:dyDescent="0.4">
      <c r="A596" t="s">
        <v>34</v>
      </c>
      <c r="B596">
        <v>4</v>
      </c>
      <c r="C596" s="36">
        <v>90804.5</v>
      </c>
      <c r="D596" s="1">
        <v>45078</v>
      </c>
      <c r="E596" s="35">
        <f t="shared" si="63"/>
        <v>0.51</v>
      </c>
      <c r="F596" s="37">
        <f t="shared" si="64"/>
        <v>45402.25</v>
      </c>
      <c r="G596" s="37">
        <f t="shared" si="65"/>
        <v>23155.147499999999</v>
      </c>
      <c r="H596" s="36" cm="1">
        <f t="array" ref="H596">SUMPRODUCT((C596&gt;tier_floor)*((C596-tier_floor)*step)*margin_rate)</f>
        <v>16530.147499999999</v>
      </c>
      <c r="I596" s="37">
        <f t="shared" si="66"/>
        <v>6625</v>
      </c>
      <c r="J596" s="38">
        <f t="shared" si="67"/>
        <v>2023</v>
      </c>
      <c r="K596" s="128">
        <f>(1+target)^($J596-(MIN(tbl_rep_mon[year])))</f>
        <v>1.3224999999999998</v>
      </c>
      <c r="L596" s="35">
        <f t="shared" si="68"/>
        <v>0.42</v>
      </c>
      <c r="M596" s="37">
        <f t="shared" si="69"/>
        <v>19068.945</v>
      </c>
    </row>
    <row r="597" spans="1:13" x14ac:dyDescent="0.4">
      <c r="A597" t="s">
        <v>35</v>
      </c>
      <c r="B597">
        <v>4</v>
      </c>
      <c r="C597" s="36">
        <v>61660.33</v>
      </c>
      <c r="D597" s="1">
        <v>45078</v>
      </c>
      <c r="E597" s="35">
        <f t="shared" si="63"/>
        <v>0.42</v>
      </c>
      <c r="F597" s="37">
        <f t="shared" si="64"/>
        <v>30830.165000000001</v>
      </c>
      <c r="G597" s="37">
        <f t="shared" si="65"/>
        <v>12948.6693</v>
      </c>
      <c r="H597" s="36" cm="1">
        <f t="array" ref="H597">SUMPRODUCT((C597&gt;tier_floor)*((C597-tier_floor)*step)*margin_rate)</f>
        <v>9698.6693000000014</v>
      </c>
      <c r="I597" s="37">
        <f t="shared" si="66"/>
        <v>3249.9999999999982</v>
      </c>
      <c r="J597" s="38">
        <f t="shared" si="67"/>
        <v>2023</v>
      </c>
      <c r="K597" s="128">
        <f>(1+target)^($J597-(MIN(tbl_rep_mon[year])))</f>
        <v>1.3224999999999998</v>
      </c>
      <c r="L597" s="35">
        <f t="shared" si="68"/>
        <v>0.33</v>
      </c>
      <c r="M597" s="37">
        <f t="shared" si="69"/>
        <v>10173.954450000001</v>
      </c>
    </row>
    <row r="598" spans="1:13" x14ac:dyDescent="0.4">
      <c r="A598" t="s">
        <v>37</v>
      </c>
      <c r="B598">
        <v>4</v>
      </c>
      <c r="C598" s="36">
        <v>62122.01</v>
      </c>
      <c r="D598" s="1">
        <v>45078</v>
      </c>
      <c r="E598" s="35">
        <f t="shared" si="63"/>
        <v>0.42</v>
      </c>
      <c r="F598" s="37">
        <f t="shared" si="64"/>
        <v>31061.005000000001</v>
      </c>
      <c r="G598" s="37">
        <f t="shared" si="65"/>
        <v>13045.622100000001</v>
      </c>
      <c r="H598" s="36" cm="1">
        <f t="array" ref="H598">SUMPRODUCT((C598&gt;tier_floor)*((C598-tier_floor)*step)*margin_rate)</f>
        <v>9795.6221000000005</v>
      </c>
      <c r="I598" s="37">
        <f t="shared" si="66"/>
        <v>3250</v>
      </c>
      <c r="J598" s="38">
        <f t="shared" si="67"/>
        <v>2023</v>
      </c>
      <c r="K598" s="128">
        <f>(1+target)^($J598-(MIN(tbl_rep_mon[year])))</f>
        <v>1.3224999999999998</v>
      </c>
      <c r="L598" s="35">
        <f t="shared" si="68"/>
        <v>0.33</v>
      </c>
      <c r="M598" s="37">
        <f t="shared" si="69"/>
        <v>10250.131650000001</v>
      </c>
    </row>
    <row r="599" spans="1:13" x14ac:dyDescent="0.4">
      <c r="A599" t="s">
        <v>38</v>
      </c>
      <c r="B599">
        <v>2</v>
      </c>
      <c r="C599" s="36">
        <v>85645.08</v>
      </c>
      <c r="D599" s="1">
        <v>45078</v>
      </c>
      <c r="E599" s="35">
        <f t="shared" si="63"/>
        <v>0.51</v>
      </c>
      <c r="F599" s="37">
        <f t="shared" si="64"/>
        <v>42822.54</v>
      </c>
      <c r="G599" s="37">
        <f t="shared" si="65"/>
        <v>21839.4954</v>
      </c>
      <c r="H599" s="36" cm="1">
        <f t="array" ref="H599">SUMPRODUCT((C599&gt;tier_floor)*((C599-tier_floor)*step)*margin_rate)</f>
        <v>15214.4954</v>
      </c>
      <c r="I599" s="37">
        <f t="shared" si="66"/>
        <v>6625</v>
      </c>
      <c r="J599" s="38">
        <f t="shared" si="67"/>
        <v>2023</v>
      </c>
      <c r="K599" s="128">
        <f>(1+target)^($J599-(MIN(tbl_rep_mon[year])))</f>
        <v>1.3224999999999998</v>
      </c>
      <c r="L599" s="35">
        <f t="shared" si="68"/>
        <v>0.42</v>
      </c>
      <c r="M599" s="37">
        <f t="shared" si="69"/>
        <v>17985.466799999998</v>
      </c>
    </row>
    <row r="600" spans="1:13" x14ac:dyDescent="0.4">
      <c r="A600" t="s">
        <v>39</v>
      </c>
      <c r="B600">
        <v>2</v>
      </c>
      <c r="C600" s="36">
        <v>74209.36</v>
      </c>
      <c r="D600" s="1">
        <v>45078</v>
      </c>
      <c r="E600" s="35">
        <f t="shared" si="63"/>
        <v>0.42</v>
      </c>
      <c r="F600" s="37">
        <f t="shared" si="64"/>
        <v>37104.68</v>
      </c>
      <c r="G600" s="37">
        <f t="shared" si="65"/>
        <v>15583.9656</v>
      </c>
      <c r="H600" s="36" cm="1">
        <f t="array" ref="H600">SUMPRODUCT((C600&gt;tier_floor)*((C600-tier_floor)*step)*margin_rate)</f>
        <v>12333.9656</v>
      </c>
      <c r="I600" s="37">
        <f t="shared" si="66"/>
        <v>3250</v>
      </c>
      <c r="J600" s="38">
        <f t="shared" si="67"/>
        <v>2023</v>
      </c>
      <c r="K600" s="128">
        <f>(1+target)^($J600-(MIN(tbl_rep_mon[year])))</f>
        <v>1.3224999999999998</v>
      </c>
      <c r="L600" s="35">
        <f t="shared" si="68"/>
        <v>0.42</v>
      </c>
      <c r="M600" s="37">
        <f t="shared" si="69"/>
        <v>15583.9656</v>
      </c>
    </row>
    <row r="601" spans="1:13" x14ac:dyDescent="0.4">
      <c r="A601" t="s">
        <v>40</v>
      </c>
      <c r="B601">
        <v>4</v>
      </c>
      <c r="C601" s="36">
        <v>54134.2</v>
      </c>
      <c r="D601" s="1">
        <v>45078</v>
      </c>
      <c r="E601" s="35">
        <f t="shared" si="63"/>
        <v>0.42</v>
      </c>
      <c r="F601" s="37">
        <f t="shared" si="64"/>
        <v>27067.1</v>
      </c>
      <c r="G601" s="37">
        <f t="shared" si="65"/>
        <v>11368.181999999999</v>
      </c>
      <c r="H601" s="36" cm="1">
        <f t="array" ref="H601">SUMPRODUCT((C601&gt;tier_floor)*((C601-tier_floor)*step)*margin_rate)</f>
        <v>8118.1819999999998</v>
      </c>
      <c r="I601" s="37">
        <f t="shared" si="66"/>
        <v>3249.9999999999991</v>
      </c>
      <c r="J601" s="38">
        <f t="shared" si="67"/>
        <v>2023</v>
      </c>
      <c r="K601" s="128">
        <f>(1+target)^($J601-(MIN(tbl_rep_mon[year])))</f>
        <v>1.3224999999999998</v>
      </c>
      <c r="L601" s="35">
        <f t="shared" si="68"/>
        <v>0.33</v>
      </c>
      <c r="M601" s="37">
        <f t="shared" si="69"/>
        <v>8932.143</v>
      </c>
    </row>
    <row r="602" spans="1:13" x14ac:dyDescent="0.4">
      <c r="A602" t="s">
        <v>6</v>
      </c>
      <c r="B602">
        <v>2</v>
      </c>
      <c r="C602" s="36">
        <v>70497.19</v>
      </c>
      <c r="D602" s="1">
        <v>45108</v>
      </c>
      <c r="E602" s="35">
        <f t="shared" si="63"/>
        <v>0.42</v>
      </c>
      <c r="F602" s="37">
        <f t="shared" si="64"/>
        <v>35248.595000000001</v>
      </c>
      <c r="G602" s="37">
        <f t="shared" si="65"/>
        <v>14804.409900000001</v>
      </c>
      <c r="H602" s="36" cm="1">
        <f t="array" ref="H602">SUMPRODUCT((C602&gt;tier_floor)*((C602-tier_floor)*step)*margin_rate)</f>
        <v>11554.409900000001</v>
      </c>
      <c r="I602" s="37">
        <f t="shared" si="66"/>
        <v>3250</v>
      </c>
      <c r="J602" s="38">
        <f t="shared" si="67"/>
        <v>2023</v>
      </c>
      <c r="K602" s="128">
        <f>(1+target)^($J602-(MIN(tbl_rep_mon[year])))</f>
        <v>1.3224999999999998</v>
      </c>
      <c r="L602" s="35">
        <f t="shared" si="68"/>
        <v>0.42</v>
      </c>
      <c r="M602" s="37">
        <f t="shared" si="69"/>
        <v>14804.409900000001</v>
      </c>
    </row>
    <row r="603" spans="1:13" x14ac:dyDescent="0.4">
      <c r="A603" t="s">
        <v>7</v>
      </c>
      <c r="B603">
        <v>4</v>
      </c>
      <c r="C603" s="36">
        <v>59099.3</v>
      </c>
      <c r="D603" s="1">
        <v>45108</v>
      </c>
      <c r="E603" s="35">
        <f t="shared" si="63"/>
        <v>0.42</v>
      </c>
      <c r="F603" s="37">
        <f t="shared" si="64"/>
        <v>29549.65</v>
      </c>
      <c r="G603" s="37">
        <f t="shared" si="65"/>
        <v>12410.853000000001</v>
      </c>
      <c r="H603" s="36" cm="1">
        <f t="array" ref="H603">SUMPRODUCT((C603&gt;tier_floor)*((C603-tier_floor)*step)*margin_rate)</f>
        <v>9160.853000000001</v>
      </c>
      <c r="I603" s="37">
        <f t="shared" si="66"/>
        <v>3250</v>
      </c>
      <c r="J603" s="38">
        <f t="shared" si="67"/>
        <v>2023</v>
      </c>
      <c r="K603" s="128">
        <f>(1+target)^($J603-(MIN(tbl_rep_mon[year])))</f>
        <v>1.3224999999999998</v>
      </c>
      <c r="L603" s="35">
        <f t="shared" si="68"/>
        <v>0.33</v>
      </c>
      <c r="M603" s="37">
        <f t="shared" si="69"/>
        <v>9751.3845000000001</v>
      </c>
    </row>
    <row r="604" spans="1:13" x14ac:dyDescent="0.4">
      <c r="A604" t="s">
        <v>8</v>
      </c>
      <c r="B604">
        <v>4</v>
      </c>
      <c r="C604" s="36">
        <v>68760</v>
      </c>
      <c r="D604" s="1">
        <v>45108</v>
      </c>
      <c r="E604" s="35">
        <f t="shared" si="63"/>
        <v>0.42</v>
      </c>
      <c r="F604" s="37">
        <f t="shared" si="64"/>
        <v>34380</v>
      </c>
      <c r="G604" s="37">
        <f t="shared" si="65"/>
        <v>14439.6</v>
      </c>
      <c r="H604" s="36" cm="1">
        <f t="array" ref="H604">SUMPRODUCT((C604&gt;tier_floor)*((C604-tier_floor)*step)*margin_rate)</f>
        <v>11189.599999999999</v>
      </c>
      <c r="I604" s="37">
        <f t="shared" si="66"/>
        <v>3250.0000000000018</v>
      </c>
      <c r="J604" s="38">
        <f t="shared" si="67"/>
        <v>2023</v>
      </c>
      <c r="K604" s="128">
        <f>(1+target)^($J604-(MIN(tbl_rep_mon[year])))</f>
        <v>1.3224999999999998</v>
      </c>
      <c r="L604" s="35">
        <f t="shared" si="68"/>
        <v>0.42</v>
      </c>
      <c r="M604" s="37">
        <f t="shared" si="69"/>
        <v>14439.6</v>
      </c>
    </row>
    <row r="605" spans="1:13" x14ac:dyDescent="0.4">
      <c r="A605" t="s">
        <v>15</v>
      </c>
      <c r="B605">
        <v>3</v>
      </c>
      <c r="C605" s="36">
        <v>64901.95</v>
      </c>
      <c r="D605" s="1">
        <v>45108</v>
      </c>
      <c r="E605" s="35">
        <f t="shared" si="63"/>
        <v>0.42</v>
      </c>
      <c r="F605" s="37">
        <f t="shared" si="64"/>
        <v>32450.974999999999</v>
      </c>
      <c r="G605" s="37">
        <f t="shared" si="65"/>
        <v>13629.4095</v>
      </c>
      <c r="H605" s="36" cm="1">
        <f t="array" ref="H605">SUMPRODUCT((C605&gt;tier_floor)*((C605-tier_floor)*step)*margin_rate)</f>
        <v>10379.409499999998</v>
      </c>
      <c r="I605" s="37">
        <f t="shared" si="66"/>
        <v>3250.0000000000018</v>
      </c>
      <c r="J605" s="38">
        <f t="shared" si="67"/>
        <v>2023</v>
      </c>
      <c r="K605" s="128">
        <f>(1+target)^($J605-(MIN(tbl_rep_mon[year])))</f>
        <v>1.3224999999999998</v>
      </c>
      <c r="L605" s="35">
        <f t="shared" si="68"/>
        <v>0.33</v>
      </c>
      <c r="M605" s="37">
        <f t="shared" si="69"/>
        <v>10708.821749999999</v>
      </c>
    </row>
    <row r="606" spans="1:13" x14ac:dyDescent="0.4">
      <c r="A606" t="s">
        <v>16</v>
      </c>
      <c r="B606">
        <v>3</v>
      </c>
      <c r="C606" s="36">
        <v>70883.429999999993</v>
      </c>
      <c r="D606" s="1">
        <v>45108</v>
      </c>
      <c r="E606" s="35">
        <f t="shared" si="63"/>
        <v>0.42</v>
      </c>
      <c r="F606" s="37">
        <f t="shared" si="64"/>
        <v>35441.714999999997</v>
      </c>
      <c r="G606" s="37">
        <f t="shared" si="65"/>
        <v>14885.520299999998</v>
      </c>
      <c r="H606" s="36" cm="1">
        <f t="array" ref="H606">SUMPRODUCT((C606&gt;tier_floor)*((C606-tier_floor)*step)*margin_rate)</f>
        <v>11635.520299999998</v>
      </c>
      <c r="I606" s="37">
        <f t="shared" si="66"/>
        <v>3250</v>
      </c>
      <c r="J606" s="38">
        <f t="shared" si="67"/>
        <v>2023</v>
      </c>
      <c r="K606" s="128">
        <f>(1+target)^($J606-(MIN(tbl_rep_mon[year])))</f>
        <v>1.3224999999999998</v>
      </c>
      <c r="L606" s="35">
        <f t="shared" si="68"/>
        <v>0.42</v>
      </c>
      <c r="M606" s="37">
        <f t="shared" si="69"/>
        <v>14885.520299999998</v>
      </c>
    </row>
    <row r="607" spans="1:13" x14ac:dyDescent="0.4">
      <c r="A607" t="s">
        <v>18</v>
      </c>
      <c r="B607">
        <v>3</v>
      </c>
      <c r="C607" s="36">
        <v>58993.2</v>
      </c>
      <c r="D607" s="1">
        <v>45108</v>
      </c>
      <c r="E607" s="35">
        <f t="shared" si="63"/>
        <v>0.42</v>
      </c>
      <c r="F607" s="37">
        <f t="shared" si="64"/>
        <v>29496.6</v>
      </c>
      <c r="G607" s="37">
        <f t="shared" si="65"/>
        <v>12388.571999999998</v>
      </c>
      <c r="H607" s="36" cm="1">
        <f t="array" ref="H607">SUMPRODUCT((C607&gt;tier_floor)*((C607-tier_floor)*step)*margin_rate)</f>
        <v>9138.5720000000001</v>
      </c>
      <c r="I607" s="37">
        <f t="shared" si="66"/>
        <v>3249.9999999999982</v>
      </c>
      <c r="J607" s="38">
        <f t="shared" si="67"/>
        <v>2023</v>
      </c>
      <c r="K607" s="128">
        <f>(1+target)^($J607-(MIN(tbl_rep_mon[year])))</f>
        <v>1.3224999999999998</v>
      </c>
      <c r="L607" s="35">
        <f t="shared" si="68"/>
        <v>0.33</v>
      </c>
      <c r="M607" s="37">
        <f t="shared" si="69"/>
        <v>9733.8780000000006</v>
      </c>
    </row>
    <row r="608" spans="1:13" x14ac:dyDescent="0.4">
      <c r="A608" t="s">
        <v>19</v>
      </c>
      <c r="B608">
        <v>4</v>
      </c>
      <c r="C608" s="36">
        <v>76201.710000000006</v>
      </c>
      <c r="D608" s="1">
        <v>45108</v>
      </c>
      <c r="E608" s="35">
        <f t="shared" si="63"/>
        <v>0.51</v>
      </c>
      <c r="F608" s="37">
        <f t="shared" si="64"/>
        <v>38100.855000000003</v>
      </c>
      <c r="G608" s="37">
        <f t="shared" si="65"/>
        <v>19431.43605</v>
      </c>
      <c r="H608" s="36" cm="1">
        <f t="array" ref="H608">SUMPRODUCT((C608&gt;tier_floor)*((C608-tier_floor)*step)*margin_rate)</f>
        <v>12806.436050000002</v>
      </c>
      <c r="I608" s="37">
        <f t="shared" si="66"/>
        <v>6624.9999999999982</v>
      </c>
      <c r="J608" s="38">
        <f t="shared" si="67"/>
        <v>2023</v>
      </c>
      <c r="K608" s="128">
        <f>(1+target)^($J608-(MIN(tbl_rep_mon[year])))</f>
        <v>1.3224999999999998</v>
      </c>
      <c r="L608" s="35">
        <f t="shared" si="68"/>
        <v>0.42</v>
      </c>
      <c r="M608" s="37">
        <f t="shared" si="69"/>
        <v>16002.359100000001</v>
      </c>
    </row>
    <row r="609" spans="1:13" x14ac:dyDescent="0.4">
      <c r="A609" t="s">
        <v>23</v>
      </c>
      <c r="B609">
        <v>1</v>
      </c>
      <c r="C609" s="36">
        <v>105231.15</v>
      </c>
      <c r="D609" s="1">
        <v>45108</v>
      </c>
      <c r="E609" s="35">
        <f t="shared" si="63"/>
        <v>0.6</v>
      </c>
      <c r="F609" s="37">
        <f t="shared" si="64"/>
        <v>52615.574999999997</v>
      </c>
      <c r="G609" s="37">
        <f t="shared" si="65"/>
        <v>31569.344999999998</v>
      </c>
      <c r="H609" s="36" cm="1">
        <f t="array" ref="H609">SUMPRODUCT((C609&gt;tier_floor)*((C609-tier_floor)*step)*margin_rate)</f>
        <v>20444.345000000001</v>
      </c>
      <c r="I609" s="37">
        <f t="shared" si="66"/>
        <v>11124.999999999996</v>
      </c>
      <c r="J609" s="38">
        <f t="shared" si="67"/>
        <v>2023</v>
      </c>
      <c r="K609" s="128">
        <f>(1+target)^($J609-(MIN(tbl_rep_mon[year])))</f>
        <v>1.3224999999999998</v>
      </c>
      <c r="L609" s="35">
        <f t="shared" si="68"/>
        <v>0.51</v>
      </c>
      <c r="M609" s="37">
        <f t="shared" si="69"/>
        <v>26833.94325</v>
      </c>
    </row>
    <row r="610" spans="1:13" x14ac:dyDescent="0.4">
      <c r="A610" t="s">
        <v>24</v>
      </c>
      <c r="B610">
        <v>3</v>
      </c>
      <c r="C610" s="36">
        <v>64945.55</v>
      </c>
      <c r="D610" s="1">
        <v>45108</v>
      </c>
      <c r="E610" s="35">
        <f t="shared" si="63"/>
        <v>0.42</v>
      </c>
      <c r="F610" s="37">
        <f t="shared" si="64"/>
        <v>32472.775000000001</v>
      </c>
      <c r="G610" s="37">
        <f t="shared" si="65"/>
        <v>13638.565500000001</v>
      </c>
      <c r="H610" s="36" cm="1">
        <f t="array" ref="H610">SUMPRODUCT((C610&gt;tier_floor)*((C610-tier_floor)*step)*margin_rate)</f>
        <v>10388.565500000001</v>
      </c>
      <c r="I610" s="37">
        <f t="shared" si="66"/>
        <v>3250</v>
      </c>
      <c r="J610" s="38">
        <f t="shared" si="67"/>
        <v>2023</v>
      </c>
      <c r="K610" s="128">
        <f>(1+target)^($J610-(MIN(tbl_rep_mon[year])))</f>
        <v>1.3224999999999998</v>
      </c>
      <c r="L610" s="35">
        <f t="shared" si="68"/>
        <v>0.33</v>
      </c>
      <c r="M610" s="37">
        <f t="shared" si="69"/>
        <v>10716.01575</v>
      </c>
    </row>
    <row r="611" spans="1:13" x14ac:dyDescent="0.4">
      <c r="A611" t="s">
        <v>25</v>
      </c>
      <c r="B611">
        <v>2</v>
      </c>
      <c r="C611" s="36">
        <v>58868.82</v>
      </c>
      <c r="D611" s="1">
        <v>45108</v>
      </c>
      <c r="E611" s="35">
        <f t="shared" si="63"/>
        <v>0.42</v>
      </c>
      <c r="F611" s="37">
        <f t="shared" si="64"/>
        <v>29434.41</v>
      </c>
      <c r="G611" s="37">
        <f t="shared" si="65"/>
        <v>12362.4522</v>
      </c>
      <c r="H611" s="36" cm="1">
        <f t="array" ref="H611">SUMPRODUCT((C611&gt;tier_floor)*((C611-tier_floor)*step)*margin_rate)</f>
        <v>9112.4521999999997</v>
      </c>
      <c r="I611" s="37">
        <f t="shared" si="66"/>
        <v>3250</v>
      </c>
      <c r="J611" s="38">
        <f t="shared" si="67"/>
        <v>2023</v>
      </c>
      <c r="K611" s="128">
        <f>(1+target)^($J611-(MIN(tbl_rep_mon[year])))</f>
        <v>1.3224999999999998</v>
      </c>
      <c r="L611" s="35">
        <f t="shared" si="68"/>
        <v>0.33</v>
      </c>
      <c r="M611" s="37">
        <f t="shared" si="69"/>
        <v>9713.3553000000011</v>
      </c>
    </row>
    <row r="612" spans="1:13" x14ac:dyDescent="0.4">
      <c r="A612" t="s">
        <v>26</v>
      </c>
      <c r="B612">
        <v>2</v>
      </c>
      <c r="C612" s="36">
        <v>58381.78</v>
      </c>
      <c r="D612" s="1">
        <v>45108</v>
      </c>
      <c r="E612" s="35">
        <f t="shared" si="63"/>
        <v>0.42</v>
      </c>
      <c r="F612" s="37">
        <f t="shared" si="64"/>
        <v>29190.89</v>
      </c>
      <c r="G612" s="37">
        <f t="shared" si="65"/>
        <v>12260.173799999999</v>
      </c>
      <c r="H612" s="36" cm="1">
        <f t="array" ref="H612">SUMPRODUCT((C612&gt;tier_floor)*((C612-tier_floor)*step)*margin_rate)</f>
        <v>9010.1737999999987</v>
      </c>
      <c r="I612" s="37">
        <f t="shared" si="66"/>
        <v>3250</v>
      </c>
      <c r="J612" s="38">
        <f t="shared" si="67"/>
        <v>2023</v>
      </c>
      <c r="K612" s="128">
        <f>(1+target)^($J612-(MIN(tbl_rep_mon[year])))</f>
        <v>1.3224999999999998</v>
      </c>
      <c r="L612" s="35">
        <f t="shared" si="68"/>
        <v>0.33</v>
      </c>
      <c r="M612" s="37">
        <f t="shared" si="69"/>
        <v>9632.9937000000009</v>
      </c>
    </row>
    <row r="613" spans="1:13" x14ac:dyDescent="0.4">
      <c r="A613" t="s">
        <v>29</v>
      </c>
      <c r="B613">
        <v>1</v>
      </c>
      <c r="C613" s="36">
        <v>96011.48</v>
      </c>
      <c r="D613" s="1">
        <v>45108</v>
      </c>
      <c r="E613" s="35">
        <f t="shared" si="63"/>
        <v>0.51</v>
      </c>
      <c r="F613" s="37">
        <f t="shared" si="64"/>
        <v>48005.74</v>
      </c>
      <c r="G613" s="37">
        <f t="shared" si="65"/>
        <v>24482.9274</v>
      </c>
      <c r="H613" s="36" cm="1">
        <f t="array" ref="H613">SUMPRODUCT((C613&gt;tier_floor)*((C613-tier_floor)*step)*margin_rate)</f>
        <v>17857.927399999997</v>
      </c>
      <c r="I613" s="37">
        <f t="shared" si="66"/>
        <v>6625.0000000000036</v>
      </c>
      <c r="J613" s="38">
        <f t="shared" si="67"/>
        <v>2023</v>
      </c>
      <c r="K613" s="128">
        <f>(1+target)^($J613-(MIN(tbl_rep_mon[year])))</f>
        <v>1.3224999999999998</v>
      </c>
      <c r="L613" s="35">
        <f t="shared" si="68"/>
        <v>0.42</v>
      </c>
      <c r="M613" s="37">
        <f t="shared" si="69"/>
        <v>20162.410799999998</v>
      </c>
    </row>
    <row r="614" spans="1:13" x14ac:dyDescent="0.4">
      <c r="A614" t="s">
        <v>32</v>
      </c>
      <c r="B614">
        <v>4</v>
      </c>
      <c r="C614" s="36">
        <v>73045.440000000002</v>
      </c>
      <c r="D614" s="1">
        <v>45108</v>
      </c>
      <c r="E614" s="35">
        <f t="shared" si="63"/>
        <v>0.42</v>
      </c>
      <c r="F614" s="37">
        <f t="shared" si="64"/>
        <v>36522.720000000001</v>
      </c>
      <c r="G614" s="37">
        <f t="shared" si="65"/>
        <v>15339.5424</v>
      </c>
      <c r="H614" s="36" cm="1">
        <f t="array" ref="H614">SUMPRODUCT((C614&gt;tier_floor)*((C614-tier_floor)*step)*margin_rate)</f>
        <v>12089.5424</v>
      </c>
      <c r="I614" s="37">
        <f t="shared" si="66"/>
        <v>3250</v>
      </c>
      <c r="J614" s="38">
        <f t="shared" si="67"/>
        <v>2023</v>
      </c>
      <c r="K614" s="128">
        <f>(1+target)^($J614-(MIN(tbl_rep_mon[year])))</f>
        <v>1.3224999999999998</v>
      </c>
      <c r="L614" s="35">
        <f t="shared" si="68"/>
        <v>0.42</v>
      </c>
      <c r="M614" s="37">
        <f t="shared" si="69"/>
        <v>15339.5424</v>
      </c>
    </row>
    <row r="615" spans="1:13" x14ac:dyDescent="0.4">
      <c r="A615" t="s">
        <v>33</v>
      </c>
      <c r="B615">
        <v>3</v>
      </c>
      <c r="C615" s="36">
        <v>49709.48</v>
      </c>
      <c r="D615" s="1">
        <v>45108</v>
      </c>
      <c r="E615" s="35">
        <f t="shared" si="63"/>
        <v>0.33</v>
      </c>
      <c r="F615" s="37">
        <f t="shared" si="64"/>
        <v>24854.74</v>
      </c>
      <c r="G615" s="37">
        <f t="shared" si="65"/>
        <v>8202.0642000000007</v>
      </c>
      <c r="H615" s="36" cm="1">
        <f t="array" ref="H615">SUMPRODUCT((C615&gt;tier_floor)*((C615-tier_floor)*step)*margin_rate)</f>
        <v>7202.0642000000007</v>
      </c>
      <c r="I615" s="37">
        <f t="shared" si="66"/>
        <v>1000</v>
      </c>
      <c r="J615" s="38">
        <f t="shared" si="67"/>
        <v>2023</v>
      </c>
      <c r="K615" s="128">
        <f>(1+target)^($J615-(MIN(tbl_rep_mon[year])))</f>
        <v>1.3224999999999998</v>
      </c>
      <c r="L615" s="35">
        <f t="shared" si="68"/>
        <v>0.33</v>
      </c>
      <c r="M615" s="37">
        <f t="shared" si="69"/>
        <v>8202.0642000000007</v>
      </c>
    </row>
    <row r="616" spans="1:13" x14ac:dyDescent="0.4">
      <c r="A616" t="s">
        <v>34</v>
      </c>
      <c r="B616">
        <v>4</v>
      </c>
      <c r="C616" s="36">
        <v>80909.22</v>
      </c>
      <c r="D616" s="1">
        <v>45108</v>
      </c>
      <c r="E616" s="35">
        <f t="shared" si="63"/>
        <v>0.51</v>
      </c>
      <c r="F616" s="37">
        <f t="shared" si="64"/>
        <v>40454.61</v>
      </c>
      <c r="G616" s="37">
        <f t="shared" si="65"/>
        <v>20631.8511</v>
      </c>
      <c r="H616" s="36" cm="1">
        <f t="array" ref="H616">SUMPRODUCT((C616&gt;tier_floor)*((C616-tier_floor)*step)*margin_rate)</f>
        <v>14006.8511</v>
      </c>
      <c r="I616" s="37">
        <f t="shared" si="66"/>
        <v>6625</v>
      </c>
      <c r="J616" s="38">
        <f t="shared" si="67"/>
        <v>2023</v>
      </c>
      <c r="K616" s="128">
        <f>(1+target)^($J616-(MIN(tbl_rep_mon[year])))</f>
        <v>1.3224999999999998</v>
      </c>
      <c r="L616" s="35">
        <f t="shared" si="68"/>
        <v>0.42</v>
      </c>
      <c r="M616" s="37">
        <f t="shared" si="69"/>
        <v>16990.9362</v>
      </c>
    </row>
    <row r="617" spans="1:13" x14ac:dyDescent="0.4">
      <c r="A617" t="s">
        <v>35</v>
      </c>
      <c r="B617">
        <v>4</v>
      </c>
      <c r="C617" s="36">
        <v>65970.45</v>
      </c>
      <c r="D617" s="1">
        <v>45108</v>
      </c>
      <c r="E617" s="35">
        <f t="shared" si="63"/>
        <v>0.42</v>
      </c>
      <c r="F617" s="37">
        <f t="shared" si="64"/>
        <v>32985.224999999999</v>
      </c>
      <c r="G617" s="37">
        <f t="shared" si="65"/>
        <v>13853.794499999998</v>
      </c>
      <c r="H617" s="36" cm="1">
        <f t="array" ref="H617">SUMPRODUCT((C617&gt;tier_floor)*((C617-tier_floor)*step)*margin_rate)</f>
        <v>10603.7945</v>
      </c>
      <c r="I617" s="37">
        <f t="shared" si="66"/>
        <v>3249.9999999999982</v>
      </c>
      <c r="J617" s="38">
        <f t="shared" si="67"/>
        <v>2023</v>
      </c>
      <c r="K617" s="128">
        <f>(1+target)^($J617-(MIN(tbl_rep_mon[year])))</f>
        <v>1.3224999999999998</v>
      </c>
      <c r="L617" s="35">
        <f t="shared" si="68"/>
        <v>0.33</v>
      </c>
      <c r="M617" s="37">
        <f t="shared" si="69"/>
        <v>10885.124250000001</v>
      </c>
    </row>
    <row r="618" spans="1:13" x14ac:dyDescent="0.4">
      <c r="A618" t="s">
        <v>37</v>
      </c>
      <c r="B618">
        <v>4</v>
      </c>
      <c r="C618" s="36">
        <v>55351.199999999997</v>
      </c>
      <c r="D618" s="1">
        <v>45108</v>
      </c>
      <c r="E618" s="35">
        <f t="shared" si="63"/>
        <v>0.42</v>
      </c>
      <c r="F618" s="37">
        <f t="shared" si="64"/>
        <v>27675.599999999999</v>
      </c>
      <c r="G618" s="37">
        <f t="shared" si="65"/>
        <v>11623.751999999999</v>
      </c>
      <c r="H618" s="36" cm="1">
        <f t="array" ref="H618">SUMPRODUCT((C618&gt;tier_floor)*((C618-tier_floor)*step)*margin_rate)</f>
        <v>8373.7520000000004</v>
      </c>
      <c r="I618" s="37">
        <f t="shared" si="66"/>
        <v>3249.9999999999982</v>
      </c>
      <c r="J618" s="38">
        <f t="shared" si="67"/>
        <v>2023</v>
      </c>
      <c r="K618" s="128">
        <f>(1+target)^($J618-(MIN(tbl_rep_mon[year])))</f>
        <v>1.3224999999999998</v>
      </c>
      <c r="L618" s="35">
        <f t="shared" si="68"/>
        <v>0.33</v>
      </c>
      <c r="M618" s="37">
        <f t="shared" si="69"/>
        <v>9132.9480000000003</v>
      </c>
    </row>
    <row r="619" spans="1:13" x14ac:dyDescent="0.4">
      <c r="A619" t="s">
        <v>38</v>
      </c>
      <c r="B619">
        <v>2</v>
      </c>
      <c r="C619" s="36">
        <v>73064.17</v>
      </c>
      <c r="D619" s="1">
        <v>45108</v>
      </c>
      <c r="E619" s="35">
        <f t="shared" si="63"/>
        <v>0.42</v>
      </c>
      <c r="F619" s="37">
        <f t="shared" si="64"/>
        <v>36532.084999999999</v>
      </c>
      <c r="G619" s="37">
        <f t="shared" si="65"/>
        <v>15343.475699999999</v>
      </c>
      <c r="H619" s="36" cm="1">
        <f t="array" ref="H619">SUMPRODUCT((C619&gt;tier_floor)*((C619-tier_floor)*step)*margin_rate)</f>
        <v>12093.475699999999</v>
      </c>
      <c r="I619" s="37">
        <f t="shared" si="66"/>
        <v>3250</v>
      </c>
      <c r="J619" s="38">
        <f t="shared" si="67"/>
        <v>2023</v>
      </c>
      <c r="K619" s="128">
        <f>(1+target)^($J619-(MIN(tbl_rep_mon[year])))</f>
        <v>1.3224999999999998</v>
      </c>
      <c r="L619" s="35">
        <f t="shared" si="68"/>
        <v>0.42</v>
      </c>
      <c r="M619" s="37">
        <f t="shared" si="69"/>
        <v>15343.475699999999</v>
      </c>
    </row>
    <row r="620" spans="1:13" x14ac:dyDescent="0.4">
      <c r="A620" t="s">
        <v>39</v>
      </c>
      <c r="B620">
        <v>2</v>
      </c>
      <c r="C620" s="36">
        <v>76270.81</v>
      </c>
      <c r="D620" s="1">
        <v>45108</v>
      </c>
      <c r="E620" s="35">
        <f t="shared" si="63"/>
        <v>0.51</v>
      </c>
      <c r="F620" s="37">
        <f t="shared" si="64"/>
        <v>38135.404999999999</v>
      </c>
      <c r="G620" s="37">
        <f t="shared" si="65"/>
        <v>19449.056550000001</v>
      </c>
      <c r="H620" s="36" cm="1">
        <f t="array" ref="H620">SUMPRODUCT((C620&gt;tier_floor)*((C620-tier_floor)*step)*margin_rate)</f>
        <v>12824.056549999998</v>
      </c>
      <c r="I620" s="37">
        <f t="shared" si="66"/>
        <v>6625.0000000000036</v>
      </c>
      <c r="J620" s="38">
        <f t="shared" si="67"/>
        <v>2023</v>
      </c>
      <c r="K620" s="128">
        <f>(1+target)^($J620-(MIN(tbl_rep_mon[year])))</f>
        <v>1.3224999999999998</v>
      </c>
      <c r="L620" s="35">
        <f t="shared" si="68"/>
        <v>0.42</v>
      </c>
      <c r="M620" s="37">
        <f t="shared" si="69"/>
        <v>16016.870099999998</v>
      </c>
    </row>
    <row r="621" spans="1:13" x14ac:dyDescent="0.4">
      <c r="A621" t="s">
        <v>40</v>
      </c>
      <c r="B621">
        <v>4</v>
      </c>
      <c r="C621" s="36">
        <v>65964.44</v>
      </c>
      <c r="D621" s="1">
        <v>45108</v>
      </c>
      <c r="E621" s="35">
        <f t="shared" si="63"/>
        <v>0.42</v>
      </c>
      <c r="F621" s="37">
        <f t="shared" si="64"/>
        <v>32982.22</v>
      </c>
      <c r="G621" s="37">
        <f t="shared" si="65"/>
        <v>13852.5324</v>
      </c>
      <c r="H621" s="36" cm="1">
        <f t="array" ref="H621">SUMPRODUCT((C621&gt;tier_floor)*((C621-tier_floor)*step)*margin_rate)</f>
        <v>10602.5324</v>
      </c>
      <c r="I621" s="37">
        <f t="shared" si="66"/>
        <v>3250</v>
      </c>
      <c r="J621" s="38">
        <f t="shared" si="67"/>
        <v>2023</v>
      </c>
      <c r="K621" s="128">
        <f>(1+target)^($J621-(MIN(tbl_rep_mon[year])))</f>
        <v>1.3224999999999998</v>
      </c>
      <c r="L621" s="35">
        <f t="shared" si="68"/>
        <v>0.33</v>
      </c>
      <c r="M621" s="37">
        <f t="shared" si="69"/>
        <v>10884.132600000001</v>
      </c>
    </row>
    <row r="622" spans="1:13" x14ac:dyDescent="0.4">
      <c r="A622" t="s">
        <v>6</v>
      </c>
      <c r="B622">
        <v>2</v>
      </c>
      <c r="C622" s="36">
        <v>75753.06</v>
      </c>
      <c r="D622" s="1">
        <v>45139</v>
      </c>
      <c r="E622" s="35">
        <f t="shared" si="63"/>
        <v>0.51</v>
      </c>
      <c r="F622" s="37">
        <f t="shared" si="64"/>
        <v>37876.53</v>
      </c>
      <c r="G622" s="37">
        <f t="shared" si="65"/>
        <v>19317.030299999999</v>
      </c>
      <c r="H622" s="36" cm="1">
        <f t="array" ref="H622">SUMPRODUCT((C622&gt;tier_floor)*((C622-tier_floor)*step)*margin_rate)</f>
        <v>12692.030299999999</v>
      </c>
      <c r="I622" s="37">
        <f t="shared" si="66"/>
        <v>6625</v>
      </c>
      <c r="J622" s="38">
        <f t="shared" si="67"/>
        <v>2023</v>
      </c>
      <c r="K622" s="128">
        <f>(1+target)^($J622-(MIN(tbl_rep_mon[year])))</f>
        <v>1.3224999999999998</v>
      </c>
      <c r="L622" s="35">
        <f t="shared" si="68"/>
        <v>0.42</v>
      </c>
      <c r="M622" s="37">
        <f t="shared" si="69"/>
        <v>15908.142599999999</v>
      </c>
    </row>
    <row r="623" spans="1:13" x14ac:dyDescent="0.4">
      <c r="A623" t="s">
        <v>7</v>
      </c>
      <c r="B623">
        <v>4</v>
      </c>
      <c r="C623" s="36">
        <v>64211.01</v>
      </c>
      <c r="D623" s="1">
        <v>45139</v>
      </c>
      <c r="E623" s="35">
        <f t="shared" si="63"/>
        <v>0.42</v>
      </c>
      <c r="F623" s="37">
        <f t="shared" si="64"/>
        <v>32105.505000000001</v>
      </c>
      <c r="G623" s="37">
        <f t="shared" si="65"/>
        <v>13484.312099999999</v>
      </c>
      <c r="H623" s="36" cm="1">
        <f t="array" ref="H623">SUMPRODUCT((C623&gt;tier_floor)*((C623-tier_floor)*step)*margin_rate)</f>
        <v>10234.312100000001</v>
      </c>
      <c r="I623" s="37">
        <f t="shared" si="66"/>
        <v>3249.9999999999982</v>
      </c>
      <c r="J623" s="38">
        <f t="shared" si="67"/>
        <v>2023</v>
      </c>
      <c r="K623" s="128">
        <f>(1+target)^($J623-(MIN(tbl_rep_mon[year])))</f>
        <v>1.3224999999999998</v>
      </c>
      <c r="L623" s="35">
        <f t="shared" si="68"/>
        <v>0.33</v>
      </c>
      <c r="M623" s="37">
        <f t="shared" si="69"/>
        <v>10594.816650000001</v>
      </c>
    </row>
    <row r="624" spans="1:13" x14ac:dyDescent="0.4">
      <c r="A624" t="s">
        <v>8</v>
      </c>
      <c r="B624">
        <v>4</v>
      </c>
      <c r="C624" s="36">
        <v>53284.45</v>
      </c>
      <c r="D624" s="1">
        <v>45139</v>
      </c>
      <c r="E624" s="35">
        <f t="shared" si="63"/>
        <v>0.42</v>
      </c>
      <c r="F624" s="37">
        <f t="shared" si="64"/>
        <v>26642.224999999999</v>
      </c>
      <c r="G624" s="37">
        <f t="shared" si="65"/>
        <v>11189.734499999999</v>
      </c>
      <c r="H624" s="36" cm="1">
        <f t="array" ref="H624">SUMPRODUCT((C624&gt;tier_floor)*((C624-tier_floor)*step)*margin_rate)</f>
        <v>7939.7345000000005</v>
      </c>
      <c r="I624" s="37">
        <f t="shared" si="66"/>
        <v>3249.9999999999982</v>
      </c>
      <c r="J624" s="38">
        <f t="shared" si="67"/>
        <v>2023</v>
      </c>
      <c r="K624" s="128">
        <f>(1+target)^($J624-(MIN(tbl_rep_mon[year])))</f>
        <v>1.3224999999999998</v>
      </c>
      <c r="L624" s="35">
        <f t="shared" si="68"/>
        <v>0.33</v>
      </c>
      <c r="M624" s="37">
        <f t="shared" si="69"/>
        <v>8791.9342500000002</v>
      </c>
    </row>
    <row r="625" spans="1:13" x14ac:dyDescent="0.4">
      <c r="A625" t="s">
        <v>15</v>
      </c>
      <c r="B625">
        <v>3</v>
      </c>
      <c r="C625" s="36">
        <v>71228.59</v>
      </c>
      <c r="D625" s="1">
        <v>45139</v>
      </c>
      <c r="E625" s="35">
        <f t="shared" si="63"/>
        <v>0.42</v>
      </c>
      <c r="F625" s="37">
        <f t="shared" si="64"/>
        <v>35614.294999999998</v>
      </c>
      <c r="G625" s="37">
        <f t="shared" si="65"/>
        <v>14958.003899999998</v>
      </c>
      <c r="H625" s="36" cm="1">
        <f t="array" ref="H625">SUMPRODUCT((C625&gt;tier_floor)*((C625-tier_floor)*step)*margin_rate)</f>
        <v>11708.003899999998</v>
      </c>
      <c r="I625" s="37">
        <f t="shared" si="66"/>
        <v>3250</v>
      </c>
      <c r="J625" s="38">
        <f t="shared" si="67"/>
        <v>2023</v>
      </c>
      <c r="K625" s="128">
        <f>(1+target)^($J625-(MIN(tbl_rep_mon[year])))</f>
        <v>1.3224999999999998</v>
      </c>
      <c r="L625" s="35">
        <f t="shared" si="68"/>
        <v>0.42</v>
      </c>
      <c r="M625" s="37">
        <f t="shared" si="69"/>
        <v>14958.003899999998</v>
      </c>
    </row>
    <row r="626" spans="1:13" x14ac:dyDescent="0.4">
      <c r="A626" t="s">
        <v>16</v>
      </c>
      <c r="B626">
        <v>3</v>
      </c>
      <c r="C626" s="36">
        <v>110885.91</v>
      </c>
      <c r="D626" s="1">
        <v>45139</v>
      </c>
      <c r="E626" s="35">
        <f t="shared" si="63"/>
        <v>0.6</v>
      </c>
      <c r="F626" s="37">
        <f t="shared" si="64"/>
        <v>55442.955000000002</v>
      </c>
      <c r="G626" s="37">
        <f t="shared" si="65"/>
        <v>33265.773000000001</v>
      </c>
      <c r="H626" s="36" cm="1">
        <f t="array" ref="H626">SUMPRODUCT((C626&gt;tier_floor)*((C626-tier_floor)*step)*margin_rate)</f>
        <v>22140.773000000001</v>
      </c>
      <c r="I626" s="37">
        <f t="shared" si="66"/>
        <v>11125</v>
      </c>
      <c r="J626" s="38">
        <f t="shared" si="67"/>
        <v>2023</v>
      </c>
      <c r="K626" s="128">
        <f>(1+target)^($J626-(MIN(tbl_rep_mon[year])))</f>
        <v>1.3224999999999998</v>
      </c>
      <c r="L626" s="35">
        <f t="shared" si="68"/>
        <v>0.51</v>
      </c>
      <c r="M626" s="37">
        <f t="shared" si="69"/>
        <v>28275.907050000002</v>
      </c>
    </row>
    <row r="627" spans="1:13" x14ac:dyDescent="0.4">
      <c r="A627" t="s">
        <v>18</v>
      </c>
      <c r="B627">
        <v>3</v>
      </c>
      <c r="C627" s="36">
        <v>87734.91</v>
      </c>
      <c r="D627" s="1">
        <v>45139</v>
      </c>
      <c r="E627" s="35">
        <f t="shared" si="63"/>
        <v>0.51</v>
      </c>
      <c r="F627" s="37">
        <f t="shared" si="64"/>
        <v>43867.455000000002</v>
      </c>
      <c r="G627" s="37">
        <f t="shared" si="65"/>
        <v>22372.402050000001</v>
      </c>
      <c r="H627" s="36" cm="1">
        <f t="array" ref="H627">SUMPRODUCT((C627&gt;tier_floor)*((C627-tier_floor)*step)*margin_rate)</f>
        <v>15747.402050000001</v>
      </c>
      <c r="I627" s="37">
        <f t="shared" si="66"/>
        <v>6625</v>
      </c>
      <c r="J627" s="38">
        <f t="shared" si="67"/>
        <v>2023</v>
      </c>
      <c r="K627" s="128">
        <f>(1+target)^($J627-(MIN(tbl_rep_mon[year])))</f>
        <v>1.3224999999999998</v>
      </c>
      <c r="L627" s="35">
        <f t="shared" si="68"/>
        <v>0.42</v>
      </c>
      <c r="M627" s="37">
        <f t="shared" si="69"/>
        <v>18424.331099999999</v>
      </c>
    </row>
    <row r="628" spans="1:13" x14ac:dyDescent="0.4">
      <c r="A628" t="s">
        <v>19</v>
      </c>
      <c r="B628">
        <v>4</v>
      </c>
      <c r="C628" s="36">
        <v>63561.16</v>
      </c>
      <c r="D628" s="1">
        <v>45139</v>
      </c>
      <c r="E628" s="35">
        <f t="shared" si="63"/>
        <v>0.42</v>
      </c>
      <c r="F628" s="37">
        <f t="shared" si="64"/>
        <v>31780.58</v>
      </c>
      <c r="G628" s="37">
        <f t="shared" si="65"/>
        <v>13347.8436</v>
      </c>
      <c r="H628" s="36" cm="1">
        <f t="array" ref="H628">SUMPRODUCT((C628&gt;tier_floor)*((C628-tier_floor)*step)*margin_rate)</f>
        <v>10097.8436</v>
      </c>
      <c r="I628" s="37">
        <f t="shared" si="66"/>
        <v>3250</v>
      </c>
      <c r="J628" s="38">
        <f t="shared" si="67"/>
        <v>2023</v>
      </c>
      <c r="K628" s="128">
        <f>(1+target)^($J628-(MIN(tbl_rep_mon[year])))</f>
        <v>1.3224999999999998</v>
      </c>
      <c r="L628" s="35">
        <f t="shared" si="68"/>
        <v>0.33</v>
      </c>
      <c r="M628" s="37">
        <f t="shared" si="69"/>
        <v>10487.591400000001</v>
      </c>
    </row>
    <row r="629" spans="1:13" x14ac:dyDescent="0.4">
      <c r="A629" t="s">
        <v>23</v>
      </c>
      <c r="B629">
        <v>1</v>
      </c>
      <c r="C629" s="36">
        <v>112904.98</v>
      </c>
      <c r="D629" s="1">
        <v>45139</v>
      </c>
      <c r="E629" s="35">
        <f t="shared" si="63"/>
        <v>0.6</v>
      </c>
      <c r="F629" s="37">
        <f t="shared" si="64"/>
        <v>56452.49</v>
      </c>
      <c r="G629" s="37">
        <f t="shared" si="65"/>
        <v>33871.493999999999</v>
      </c>
      <c r="H629" s="36" cm="1">
        <f t="array" ref="H629">SUMPRODUCT((C629&gt;tier_floor)*((C629-tier_floor)*step)*margin_rate)</f>
        <v>22746.493999999999</v>
      </c>
      <c r="I629" s="37">
        <f t="shared" si="66"/>
        <v>11125</v>
      </c>
      <c r="J629" s="38">
        <f t="shared" si="67"/>
        <v>2023</v>
      </c>
      <c r="K629" s="128">
        <f>(1+target)^($J629-(MIN(tbl_rep_mon[year])))</f>
        <v>1.3224999999999998</v>
      </c>
      <c r="L629" s="35">
        <f t="shared" si="68"/>
        <v>0.51</v>
      </c>
      <c r="M629" s="37">
        <f t="shared" si="69"/>
        <v>28790.769899999999</v>
      </c>
    </row>
    <row r="630" spans="1:13" x14ac:dyDescent="0.4">
      <c r="A630" t="s">
        <v>24</v>
      </c>
      <c r="B630">
        <v>3</v>
      </c>
      <c r="C630" s="36">
        <v>68703.66</v>
      </c>
      <c r="D630" s="1">
        <v>45139</v>
      </c>
      <c r="E630" s="35">
        <f t="shared" si="63"/>
        <v>0.42</v>
      </c>
      <c r="F630" s="37">
        <f t="shared" si="64"/>
        <v>34351.83</v>
      </c>
      <c r="G630" s="37">
        <f t="shared" si="65"/>
        <v>14427.768599999999</v>
      </c>
      <c r="H630" s="36" cm="1">
        <f t="array" ref="H630">SUMPRODUCT((C630&gt;tier_floor)*((C630-tier_floor)*step)*margin_rate)</f>
        <v>11177.768600000001</v>
      </c>
      <c r="I630" s="37">
        <f t="shared" si="66"/>
        <v>3249.9999999999982</v>
      </c>
      <c r="J630" s="38">
        <f t="shared" si="67"/>
        <v>2023</v>
      </c>
      <c r="K630" s="128">
        <f>(1+target)^($J630-(MIN(tbl_rep_mon[year])))</f>
        <v>1.3224999999999998</v>
      </c>
      <c r="L630" s="35">
        <f t="shared" si="68"/>
        <v>0.42</v>
      </c>
      <c r="M630" s="37">
        <f t="shared" si="69"/>
        <v>14427.768599999999</v>
      </c>
    </row>
    <row r="631" spans="1:13" x14ac:dyDescent="0.4">
      <c r="A631" t="s">
        <v>25</v>
      </c>
      <c r="B631">
        <v>2</v>
      </c>
      <c r="C631" s="36">
        <v>78127.17</v>
      </c>
      <c r="D631" s="1">
        <v>45139</v>
      </c>
      <c r="E631" s="35">
        <f t="shared" si="63"/>
        <v>0.51</v>
      </c>
      <c r="F631" s="37">
        <f t="shared" si="64"/>
        <v>39063.584999999999</v>
      </c>
      <c r="G631" s="37">
        <f t="shared" si="65"/>
        <v>19922.428349999998</v>
      </c>
      <c r="H631" s="36" cm="1">
        <f t="array" ref="H631">SUMPRODUCT((C631&gt;tier_floor)*((C631-tier_floor)*step)*margin_rate)</f>
        <v>13297.42835</v>
      </c>
      <c r="I631" s="37">
        <f t="shared" si="66"/>
        <v>6624.9999999999982</v>
      </c>
      <c r="J631" s="38">
        <f t="shared" si="67"/>
        <v>2023</v>
      </c>
      <c r="K631" s="128">
        <f>(1+target)^($J631-(MIN(tbl_rep_mon[year])))</f>
        <v>1.3224999999999998</v>
      </c>
      <c r="L631" s="35">
        <f t="shared" si="68"/>
        <v>0.42</v>
      </c>
      <c r="M631" s="37">
        <f t="shared" si="69"/>
        <v>16406.705699999999</v>
      </c>
    </row>
    <row r="632" spans="1:13" x14ac:dyDescent="0.4">
      <c r="A632" t="s">
        <v>26</v>
      </c>
      <c r="B632">
        <v>2</v>
      </c>
      <c r="C632" s="36">
        <v>73532.36</v>
      </c>
      <c r="D632" s="1">
        <v>45139</v>
      </c>
      <c r="E632" s="35">
        <f t="shared" si="63"/>
        <v>0.42</v>
      </c>
      <c r="F632" s="37">
        <f t="shared" si="64"/>
        <v>36766.18</v>
      </c>
      <c r="G632" s="37">
        <f t="shared" si="65"/>
        <v>15441.795599999999</v>
      </c>
      <c r="H632" s="36" cm="1">
        <f t="array" ref="H632">SUMPRODUCT((C632&gt;tier_floor)*((C632-tier_floor)*step)*margin_rate)</f>
        <v>12191.795600000001</v>
      </c>
      <c r="I632" s="37">
        <f t="shared" si="66"/>
        <v>3249.9999999999982</v>
      </c>
      <c r="J632" s="38">
        <f t="shared" si="67"/>
        <v>2023</v>
      </c>
      <c r="K632" s="128">
        <f>(1+target)^($J632-(MIN(tbl_rep_mon[year])))</f>
        <v>1.3224999999999998</v>
      </c>
      <c r="L632" s="35">
        <f t="shared" si="68"/>
        <v>0.42</v>
      </c>
      <c r="M632" s="37">
        <f t="shared" si="69"/>
        <v>15441.795599999999</v>
      </c>
    </row>
    <row r="633" spans="1:13" x14ac:dyDescent="0.4">
      <c r="A633" t="s">
        <v>29</v>
      </c>
      <c r="B633">
        <v>1</v>
      </c>
      <c r="C633" s="36">
        <v>98965.32</v>
      </c>
      <c r="D633" s="1">
        <v>45139</v>
      </c>
      <c r="E633" s="35">
        <f t="shared" si="63"/>
        <v>0.51</v>
      </c>
      <c r="F633" s="37">
        <f t="shared" si="64"/>
        <v>49482.66</v>
      </c>
      <c r="G633" s="37">
        <f t="shared" si="65"/>
        <v>25236.156600000002</v>
      </c>
      <c r="H633" s="36" cm="1">
        <f t="array" ref="H633">SUMPRODUCT((C633&gt;tier_floor)*((C633-tier_floor)*step)*margin_rate)</f>
        <v>18611.156600000002</v>
      </c>
      <c r="I633" s="37">
        <f t="shared" si="66"/>
        <v>6625</v>
      </c>
      <c r="J633" s="38">
        <f t="shared" si="67"/>
        <v>2023</v>
      </c>
      <c r="K633" s="128">
        <f>(1+target)^($J633-(MIN(tbl_rep_mon[year])))</f>
        <v>1.3224999999999998</v>
      </c>
      <c r="L633" s="35">
        <f t="shared" si="68"/>
        <v>0.42</v>
      </c>
      <c r="M633" s="37">
        <f t="shared" si="69"/>
        <v>20782.717199999999</v>
      </c>
    </row>
    <row r="634" spans="1:13" x14ac:dyDescent="0.4">
      <c r="A634" t="s">
        <v>32</v>
      </c>
      <c r="B634">
        <v>4</v>
      </c>
      <c r="C634" s="36">
        <v>77219.44</v>
      </c>
      <c r="D634" s="1">
        <v>45139</v>
      </c>
      <c r="E634" s="35">
        <f t="shared" si="63"/>
        <v>0.51</v>
      </c>
      <c r="F634" s="37">
        <f t="shared" si="64"/>
        <v>38609.72</v>
      </c>
      <c r="G634" s="37">
        <f t="shared" si="65"/>
        <v>19690.957200000001</v>
      </c>
      <c r="H634" s="36" cm="1">
        <f t="array" ref="H634">SUMPRODUCT((C634&gt;tier_floor)*((C634-tier_floor)*step)*margin_rate)</f>
        <v>13065.957200000001</v>
      </c>
      <c r="I634" s="37">
        <f t="shared" si="66"/>
        <v>6625</v>
      </c>
      <c r="J634" s="38">
        <f t="shared" si="67"/>
        <v>2023</v>
      </c>
      <c r="K634" s="128">
        <f>(1+target)^($J634-(MIN(tbl_rep_mon[year])))</f>
        <v>1.3224999999999998</v>
      </c>
      <c r="L634" s="35">
        <f t="shared" si="68"/>
        <v>0.42</v>
      </c>
      <c r="M634" s="37">
        <f t="shared" si="69"/>
        <v>16216.082399999999</v>
      </c>
    </row>
    <row r="635" spans="1:13" x14ac:dyDescent="0.4">
      <c r="A635" t="s">
        <v>33</v>
      </c>
      <c r="B635">
        <v>3</v>
      </c>
      <c r="C635" s="36">
        <v>46895.67</v>
      </c>
      <c r="D635" s="1">
        <v>45139</v>
      </c>
      <c r="E635" s="35">
        <f t="shared" si="63"/>
        <v>0.33</v>
      </c>
      <c r="F635" s="37">
        <f t="shared" si="64"/>
        <v>23447.834999999999</v>
      </c>
      <c r="G635" s="37">
        <f t="shared" si="65"/>
        <v>7737.7855500000005</v>
      </c>
      <c r="H635" s="36" cm="1">
        <f t="array" ref="H635">SUMPRODUCT((C635&gt;tier_floor)*((C635-tier_floor)*step)*margin_rate)</f>
        <v>6737.7855499999996</v>
      </c>
      <c r="I635" s="37">
        <f t="shared" si="66"/>
        <v>1000.0000000000009</v>
      </c>
      <c r="J635" s="38">
        <f t="shared" si="67"/>
        <v>2023</v>
      </c>
      <c r="K635" s="128">
        <f>(1+target)^($J635-(MIN(tbl_rep_mon[year])))</f>
        <v>1.3224999999999998</v>
      </c>
      <c r="L635" s="35">
        <f t="shared" si="68"/>
        <v>0.33</v>
      </c>
      <c r="M635" s="37">
        <f t="shared" si="69"/>
        <v>7737.7855500000005</v>
      </c>
    </row>
    <row r="636" spans="1:13" x14ac:dyDescent="0.4">
      <c r="A636" t="s">
        <v>34</v>
      </c>
      <c r="B636">
        <v>4</v>
      </c>
      <c r="C636" s="36">
        <v>54348.81</v>
      </c>
      <c r="D636" s="1">
        <v>45139</v>
      </c>
      <c r="E636" s="35">
        <f t="shared" si="63"/>
        <v>0.42</v>
      </c>
      <c r="F636" s="37">
        <f t="shared" si="64"/>
        <v>27174.404999999999</v>
      </c>
      <c r="G636" s="37">
        <f t="shared" si="65"/>
        <v>11413.250099999999</v>
      </c>
      <c r="H636" s="36" cm="1">
        <f t="array" ref="H636">SUMPRODUCT((C636&gt;tier_floor)*((C636-tier_floor)*step)*margin_rate)</f>
        <v>8163.2500999999993</v>
      </c>
      <c r="I636" s="37">
        <f t="shared" si="66"/>
        <v>3250</v>
      </c>
      <c r="J636" s="38">
        <f t="shared" si="67"/>
        <v>2023</v>
      </c>
      <c r="K636" s="128">
        <f>(1+target)^($J636-(MIN(tbl_rep_mon[year])))</f>
        <v>1.3224999999999998</v>
      </c>
      <c r="L636" s="35">
        <f t="shared" si="68"/>
        <v>0.33</v>
      </c>
      <c r="M636" s="37">
        <f t="shared" si="69"/>
        <v>8967.5536499999998</v>
      </c>
    </row>
    <row r="637" spans="1:13" x14ac:dyDescent="0.4">
      <c r="A637" t="s">
        <v>35</v>
      </c>
      <c r="B637">
        <v>4</v>
      </c>
      <c r="C637" s="36">
        <v>67672.98</v>
      </c>
      <c r="D637" s="1">
        <v>45139</v>
      </c>
      <c r="E637" s="35">
        <f t="shared" si="63"/>
        <v>0.42</v>
      </c>
      <c r="F637" s="37">
        <f t="shared" si="64"/>
        <v>33836.49</v>
      </c>
      <c r="G637" s="37">
        <f t="shared" si="65"/>
        <v>14211.325799999999</v>
      </c>
      <c r="H637" s="36" cm="1">
        <f t="array" ref="H637">SUMPRODUCT((C637&gt;tier_floor)*((C637-tier_floor)*step)*margin_rate)</f>
        <v>10961.325799999999</v>
      </c>
      <c r="I637" s="37">
        <f t="shared" si="66"/>
        <v>3250</v>
      </c>
      <c r="J637" s="38">
        <f t="shared" si="67"/>
        <v>2023</v>
      </c>
      <c r="K637" s="128">
        <f>(1+target)^($J637-(MIN(tbl_rep_mon[year])))</f>
        <v>1.3224999999999998</v>
      </c>
      <c r="L637" s="35">
        <f t="shared" si="68"/>
        <v>0.42</v>
      </c>
      <c r="M637" s="37">
        <f t="shared" si="69"/>
        <v>14211.325799999999</v>
      </c>
    </row>
    <row r="638" spans="1:13" x14ac:dyDescent="0.4">
      <c r="A638" t="s">
        <v>37</v>
      </c>
      <c r="B638">
        <v>4</v>
      </c>
      <c r="C638" s="36">
        <v>50185.81</v>
      </c>
      <c r="D638" s="1">
        <v>45139</v>
      </c>
      <c r="E638" s="35">
        <f t="shared" si="63"/>
        <v>0.42</v>
      </c>
      <c r="F638" s="37">
        <f t="shared" si="64"/>
        <v>25092.904999999999</v>
      </c>
      <c r="G638" s="37">
        <f t="shared" si="65"/>
        <v>10539.0201</v>
      </c>
      <c r="H638" s="36" cm="1">
        <f t="array" ref="H638">SUMPRODUCT((C638&gt;tier_floor)*((C638-tier_floor)*step)*margin_rate)</f>
        <v>7289.0200999999997</v>
      </c>
      <c r="I638" s="37">
        <f t="shared" si="66"/>
        <v>3250</v>
      </c>
      <c r="J638" s="38">
        <f t="shared" si="67"/>
        <v>2023</v>
      </c>
      <c r="K638" s="128">
        <f>(1+target)^($J638-(MIN(tbl_rep_mon[year])))</f>
        <v>1.3224999999999998</v>
      </c>
      <c r="L638" s="35">
        <f t="shared" si="68"/>
        <v>0.33</v>
      </c>
      <c r="M638" s="37">
        <f t="shared" si="69"/>
        <v>8280.6586499999994</v>
      </c>
    </row>
    <row r="639" spans="1:13" x14ac:dyDescent="0.4">
      <c r="A639" t="s">
        <v>38</v>
      </c>
      <c r="B639">
        <v>2</v>
      </c>
      <c r="C639" s="36">
        <v>86545.91</v>
      </c>
      <c r="D639" s="1">
        <v>45139</v>
      </c>
      <c r="E639" s="35">
        <f t="shared" si="63"/>
        <v>0.51</v>
      </c>
      <c r="F639" s="37">
        <f t="shared" si="64"/>
        <v>43272.955000000002</v>
      </c>
      <c r="G639" s="37">
        <f t="shared" si="65"/>
        <v>22069.207050000001</v>
      </c>
      <c r="H639" s="36" cm="1">
        <f t="array" ref="H639">SUMPRODUCT((C639&gt;tier_floor)*((C639-tier_floor)*step)*margin_rate)</f>
        <v>15444.207050000001</v>
      </c>
      <c r="I639" s="37">
        <f t="shared" si="66"/>
        <v>6625</v>
      </c>
      <c r="J639" s="38">
        <f t="shared" si="67"/>
        <v>2023</v>
      </c>
      <c r="K639" s="128">
        <f>(1+target)^($J639-(MIN(tbl_rep_mon[year])))</f>
        <v>1.3224999999999998</v>
      </c>
      <c r="L639" s="35">
        <f t="shared" si="68"/>
        <v>0.42</v>
      </c>
      <c r="M639" s="37">
        <f t="shared" si="69"/>
        <v>18174.641100000001</v>
      </c>
    </row>
    <row r="640" spans="1:13" x14ac:dyDescent="0.4">
      <c r="A640" t="s">
        <v>39</v>
      </c>
      <c r="B640">
        <v>2</v>
      </c>
      <c r="C640" s="36">
        <v>74524.850000000006</v>
      </c>
      <c r="D640" s="1">
        <v>45139</v>
      </c>
      <c r="E640" s="35">
        <f t="shared" si="63"/>
        <v>0.42</v>
      </c>
      <c r="F640" s="37">
        <f t="shared" si="64"/>
        <v>37262.425000000003</v>
      </c>
      <c r="G640" s="37">
        <f t="shared" si="65"/>
        <v>15650.218500000001</v>
      </c>
      <c r="H640" s="36" cm="1">
        <f t="array" ref="H640">SUMPRODUCT((C640&gt;tier_floor)*((C640-tier_floor)*step)*margin_rate)</f>
        <v>12400.218500000001</v>
      </c>
      <c r="I640" s="37">
        <f t="shared" si="66"/>
        <v>3250</v>
      </c>
      <c r="J640" s="38">
        <f t="shared" si="67"/>
        <v>2023</v>
      </c>
      <c r="K640" s="128">
        <f>(1+target)^($J640-(MIN(tbl_rep_mon[year])))</f>
        <v>1.3224999999999998</v>
      </c>
      <c r="L640" s="35">
        <f t="shared" si="68"/>
        <v>0.42</v>
      </c>
      <c r="M640" s="37">
        <f t="shared" si="69"/>
        <v>15650.218500000001</v>
      </c>
    </row>
    <row r="641" spans="1:13" x14ac:dyDescent="0.4">
      <c r="A641" t="s">
        <v>40</v>
      </c>
      <c r="B641">
        <v>4</v>
      </c>
      <c r="C641" s="36">
        <v>47629.22</v>
      </c>
      <c r="D641" s="1">
        <v>45139</v>
      </c>
      <c r="E641" s="35">
        <f t="shared" si="63"/>
        <v>0.33</v>
      </c>
      <c r="F641" s="37">
        <f t="shared" si="64"/>
        <v>23814.61</v>
      </c>
      <c r="G641" s="37">
        <f t="shared" si="65"/>
        <v>7858.8213000000005</v>
      </c>
      <c r="H641" s="36" cm="1">
        <f t="array" ref="H641">SUMPRODUCT((C641&gt;tier_floor)*((C641-tier_floor)*step)*margin_rate)</f>
        <v>6858.8213000000005</v>
      </c>
      <c r="I641" s="37">
        <f t="shared" si="66"/>
        <v>1000</v>
      </c>
      <c r="J641" s="38">
        <f t="shared" si="67"/>
        <v>2023</v>
      </c>
      <c r="K641" s="128">
        <f>(1+target)^($J641-(MIN(tbl_rep_mon[year])))</f>
        <v>1.3224999999999998</v>
      </c>
      <c r="L641" s="35">
        <f t="shared" si="68"/>
        <v>0.33</v>
      </c>
      <c r="M641" s="37">
        <f t="shared" si="69"/>
        <v>7858.8213000000005</v>
      </c>
    </row>
    <row r="642" spans="1:13" x14ac:dyDescent="0.4">
      <c r="A642" t="s">
        <v>6</v>
      </c>
      <c r="B642">
        <v>2</v>
      </c>
      <c r="C642" s="36">
        <v>63717.09</v>
      </c>
      <c r="D642" s="1">
        <v>45170</v>
      </c>
      <c r="E642" s="35">
        <f t="shared" ref="E642:E705" si="70">_xlfn.XLOOKUP(C642,tier_floor,tier_rate,,-1)</f>
        <v>0.42</v>
      </c>
      <c r="F642" s="37">
        <f t="shared" ref="F642:F705" si="71">C642*margin_rate</f>
        <v>31858.544999999998</v>
      </c>
      <c r="G642" s="37">
        <f t="shared" ref="G642:G705" si="72">F642*E642</f>
        <v>13380.588899999999</v>
      </c>
      <c r="H642" s="36" cm="1">
        <f t="array" ref="H642">SUMPRODUCT((C642&gt;tier_floor)*((C642-tier_floor)*step)*margin_rate)</f>
        <v>10130.588899999999</v>
      </c>
      <c r="I642" s="37">
        <f t="shared" ref="I642:I705" si="73">G642-H642</f>
        <v>3250</v>
      </c>
      <c r="J642" s="38">
        <f t="shared" ref="J642:J705" si="74">YEAR(D642)</f>
        <v>2023</v>
      </c>
      <c r="K642" s="128">
        <f>(1+target)^($J642-(MIN(tbl_rep_mon[year])))</f>
        <v>1.3224999999999998</v>
      </c>
      <c r="L642" s="35">
        <f t="shared" ref="L642:L705" si="75">_xlfn.XLOOKUP(($C642/$K642),tier_floor,tier_rate,,-1)</f>
        <v>0.33</v>
      </c>
      <c r="M642" s="37">
        <f t="shared" ref="M642:M705" si="76">$F642*$L642</f>
        <v>10513.31985</v>
      </c>
    </row>
    <row r="643" spans="1:13" x14ac:dyDescent="0.4">
      <c r="A643" t="s">
        <v>7</v>
      </c>
      <c r="B643">
        <v>4</v>
      </c>
      <c r="C643" s="36">
        <v>64284.73</v>
      </c>
      <c r="D643" s="1">
        <v>45170</v>
      </c>
      <c r="E643" s="35">
        <f t="shared" si="70"/>
        <v>0.42</v>
      </c>
      <c r="F643" s="37">
        <f t="shared" si="71"/>
        <v>32142.365000000002</v>
      </c>
      <c r="G643" s="37">
        <f t="shared" si="72"/>
        <v>13499.793299999999</v>
      </c>
      <c r="H643" s="36" cm="1">
        <f t="array" ref="H643">SUMPRODUCT((C643&gt;tier_floor)*((C643-tier_floor)*step)*margin_rate)</f>
        <v>10249.793300000001</v>
      </c>
      <c r="I643" s="37">
        <f t="shared" si="73"/>
        <v>3249.9999999999982</v>
      </c>
      <c r="J643" s="38">
        <f t="shared" si="74"/>
        <v>2023</v>
      </c>
      <c r="K643" s="128">
        <f>(1+target)^($J643-(MIN(tbl_rep_mon[year])))</f>
        <v>1.3224999999999998</v>
      </c>
      <c r="L643" s="35">
        <f t="shared" si="75"/>
        <v>0.33</v>
      </c>
      <c r="M643" s="37">
        <f t="shared" si="76"/>
        <v>10606.980450000001</v>
      </c>
    </row>
    <row r="644" spans="1:13" x14ac:dyDescent="0.4">
      <c r="A644" t="s">
        <v>8</v>
      </c>
      <c r="B644">
        <v>4</v>
      </c>
      <c r="C644" s="36">
        <v>70321.990000000005</v>
      </c>
      <c r="D644" s="1">
        <v>45170</v>
      </c>
      <c r="E644" s="35">
        <f t="shared" si="70"/>
        <v>0.42</v>
      </c>
      <c r="F644" s="37">
        <f t="shared" si="71"/>
        <v>35160.995000000003</v>
      </c>
      <c r="G644" s="37">
        <f t="shared" si="72"/>
        <v>14767.617900000001</v>
      </c>
      <c r="H644" s="36" cm="1">
        <f t="array" ref="H644">SUMPRODUCT((C644&gt;tier_floor)*((C644-tier_floor)*step)*margin_rate)</f>
        <v>11517.617900000001</v>
      </c>
      <c r="I644" s="37">
        <f t="shared" si="73"/>
        <v>3250</v>
      </c>
      <c r="J644" s="38">
        <f t="shared" si="74"/>
        <v>2023</v>
      </c>
      <c r="K644" s="128">
        <f>(1+target)^($J644-(MIN(tbl_rep_mon[year])))</f>
        <v>1.3224999999999998</v>
      </c>
      <c r="L644" s="35">
        <f t="shared" si="75"/>
        <v>0.42</v>
      </c>
      <c r="M644" s="37">
        <f t="shared" si="76"/>
        <v>14767.617900000001</v>
      </c>
    </row>
    <row r="645" spans="1:13" x14ac:dyDescent="0.4">
      <c r="A645" t="s">
        <v>15</v>
      </c>
      <c r="B645">
        <v>3</v>
      </c>
      <c r="C645" s="36">
        <v>96359.91</v>
      </c>
      <c r="D645" s="1">
        <v>45170</v>
      </c>
      <c r="E645" s="35">
        <f t="shared" si="70"/>
        <v>0.51</v>
      </c>
      <c r="F645" s="37">
        <f t="shared" si="71"/>
        <v>48179.955000000002</v>
      </c>
      <c r="G645" s="37">
        <f t="shared" si="72"/>
        <v>24571.777050000001</v>
      </c>
      <c r="H645" s="36" cm="1">
        <f t="array" ref="H645">SUMPRODUCT((C645&gt;tier_floor)*((C645-tier_floor)*step)*margin_rate)</f>
        <v>17946.777050000004</v>
      </c>
      <c r="I645" s="37">
        <f t="shared" si="73"/>
        <v>6624.9999999999964</v>
      </c>
      <c r="J645" s="38">
        <f t="shared" si="74"/>
        <v>2023</v>
      </c>
      <c r="K645" s="128">
        <f>(1+target)^($J645-(MIN(tbl_rep_mon[year])))</f>
        <v>1.3224999999999998</v>
      </c>
      <c r="L645" s="35">
        <f t="shared" si="75"/>
        <v>0.42</v>
      </c>
      <c r="M645" s="37">
        <f t="shared" si="76"/>
        <v>20235.581099999999</v>
      </c>
    </row>
    <row r="646" spans="1:13" x14ac:dyDescent="0.4">
      <c r="A646" t="s">
        <v>16</v>
      </c>
      <c r="B646">
        <v>3</v>
      </c>
      <c r="C646" s="36">
        <v>97596.27</v>
      </c>
      <c r="D646" s="1">
        <v>45170</v>
      </c>
      <c r="E646" s="35">
        <f t="shared" si="70"/>
        <v>0.51</v>
      </c>
      <c r="F646" s="37">
        <f t="shared" si="71"/>
        <v>48798.135000000002</v>
      </c>
      <c r="G646" s="37">
        <f t="shared" si="72"/>
        <v>24887.048850000003</v>
      </c>
      <c r="H646" s="36" cm="1">
        <f t="array" ref="H646">SUMPRODUCT((C646&gt;tier_floor)*((C646-tier_floor)*step)*margin_rate)</f>
        <v>18262.048850000003</v>
      </c>
      <c r="I646" s="37">
        <f t="shared" si="73"/>
        <v>6625</v>
      </c>
      <c r="J646" s="38">
        <f t="shared" si="74"/>
        <v>2023</v>
      </c>
      <c r="K646" s="128">
        <f>(1+target)^($J646-(MIN(tbl_rep_mon[year])))</f>
        <v>1.3224999999999998</v>
      </c>
      <c r="L646" s="35">
        <f t="shared" si="75"/>
        <v>0.42</v>
      </c>
      <c r="M646" s="37">
        <f t="shared" si="76"/>
        <v>20495.216700000001</v>
      </c>
    </row>
    <row r="647" spans="1:13" x14ac:dyDescent="0.4">
      <c r="A647" t="s">
        <v>18</v>
      </c>
      <c r="B647">
        <v>3</v>
      </c>
      <c r="C647" s="36">
        <v>100309.26</v>
      </c>
      <c r="D647" s="1">
        <v>45170</v>
      </c>
      <c r="E647" s="35">
        <f t="shared" si="70"/>
        <v>0.6</v>
      </c>
      <c r="F647" s="37">
        <f t="shared" si="71"/>
        <v>50154.63</v>
      </c>
      <c r="G647" s="37">
        <f t="shared" si="72"/>
        <v>30092.777999999998</v>
      </c>
      <c r="H647" s="36" cm="1">
        <f t="array" ref="H647">SUMPRODUCT((C647&gt;tier_floor)*((C647-tier_floor)*step)*margin_rate)</f>
        <v>18967.777999999998</v>
      </c>
      <c r="I647" s="37">
        <f t="shared" si="73"/>
        <v>11125</v>
      </c>
      <c r="J647" s="38">
        <f t="shared" si="74"/>
        <v>2023</v>
      </c>
      <c r="K647" s="128">
        <f>(1+target)^($J647-(MIN(tbl_rep_mon[year])))</f>
        <v>1.3224999999999998</v>
      </c>
      <c r="L647" s="35">
        <f t="shared" si="75"/>
        <v>0.51</v>
      </c>
      <c r="M647" s="37">
        <f t="shared" si="76"/>
        <v>25578.8613</v>
      </c>
    </row>
    <row r="648" spans="1:13" x14ac:dyDescent="0.4">
      <c r="A648" t="s">
        <v>19</v>
      </c>
      <c r="B648">
        <v>4</v>
      </c>
      <c r="C648" s="36">
        <v>57215.839999999997</v>
      </c>
      <c r="D648" s="1">
        <v>45170</v>
      </c>
      <c r="E648" s="35">
        <f t="shared" si="70"/>
        <v>0.42</v>
      </c>
      <c r="F648" s="37">
        <f t="shared" si="71"/>
        <v>28607.919999999998</v>
      </c>
      <c r="G648" s="37">
        <f t="shared" si="72"/>
        <v>12015.326399999998</v>
      </c>
      <c r="H648" s="36" cm="1">
        <f t="array" ref="H648">SUMPRODUCT((C648&gt;tier_floor)*((C648-tier_floor)*step)*margin_rate)</f>
        <v>8765.3263999999999</v>
      </c>
      <c r="I648" s="37">
        <f t="shared" si="73"/>
        <v>3249.9999999999982</v>
      </c>
      <c r="J648" s="38">
        <f t="shared" si="74"/>
        <v>2023</v>
      </c>
      <c r="K648" s="128">
        <f>(1+target)^($J648-(MIN(tbl_rep_mon[year])))</f>
        <v>1.3224999999999998</v>
      </c>
      <c r="L648" s="35">
        <f t="shared" si="75"/>
        <v>0.33</v>
      </c>
      <c r="M648" s="37">
        <f t="shared" si="76"/>
        <v>9440.6136000000006</v>
      </c>
    </row>
    <row r="649" spans="1:13" x14ac:dyDescent="0.4">
      <c r="A649" t="s">
        <v>23</v>
      </c>
      <c r="B649">
        <v>1</v>
      </c>
      <c r="C649" s="36">
        <v>118448.13</v>
      </c>
      <c r="D649" s="1">
        <v>45170</v>
      </c>
      <c r="E649" s="35">
        <f t="shared" si="70"/>
        <v>0.6</v>
      </c>
      <c r="F649" s="37">
        <f t="shared" si="71"/>
        <v>59224.065000000002</v>
      </c>
      <c r="G649" s="37">
        <f t="shared" si="72"/>
        <v>35534.438999999998</v>
      </c>
      <c r="H649" s="36" cm="1">
        <f t="array" ref="H649">SUMPRODUCT((C649&gt;tier_floor)*((C649-tier_floor)*step)*margin_rate)</f>
        <v>24409.439000000002</v>
      </c>
      <c r="I649" s="37">
        <f t="shared" si="73"/>
        <v>11124.999999999996</v>
      </c>
      <c r="J649" s="38">
        <f t="shared" si="74"/>
        <v>2023</v>
      </c>
      <c r="K649" s="128">
        <f>(1+target)^($J649-(MIN(tbl_rep_mon[year])))</f>
        <v>1.3224999999999998</v>
      </c>
      <c r="L649" s="35">
        <f t="shared" si="75"/>
        <v>0.51</v>
      </c>
      <c r="M649" s="37">
        <f t="shared" si="76"/>
        <v>30204.273150000001</v>
      </c>
    </row>
    <row r="650" spans="1:13" x14ac:dyDescent="0.4">
      <c r="A650" t="s">
        <v>24</v>
      </c>
      <c r="B650">
        <v>3</v>
      </c>
      <c r="C650" s="36">
        <v>57450.77</v>
      </c>
      <c r="D650" s="1">
        <v>45170</v>
      </c>
      <c r="E650" s="35">
        <f t="shared" si="70"/>
        <v>0.42</v>
      </c>
      <c r="F650" s="37">
        <f t="shared" si="71"/>
        <v>28725.384999999998</v>
      </c>
      <c r="G650" s="37">
        <f t="shared" si="72"/>
        <v>12064.661699999999</v>
      </c>
      <c r="H650" s="36" cm="1">
        <f t="array" ref="H650">SUMPRODUCT((C650&gt;tier_floor)*((C650-tier_floor)*step)*margin_rate)</f>
        <v>8814.6616999999987</v>
      </c>
      <c r="I650" s="37">
        <f t="shared" si="73"/>
        <v>3250</v>
      </c>
      <c r="J650" s="38">
        <f t="shared" si="74"/>
        <v>2023</v>
      </c>
      <c r="K650" s="128">
        <f>(1+target)^($J650-(MIN(tbl_rep_mon[year])))</f>
        <v>1.3224999999999998</v>
      </c>
      <c r="L650" s="35">
        <f t="shared" si="75"/>
        <v>0.33</v>
      </c>
      <c r="M650" s="37">
        <f t="shared" si="76"/>
        <v>9479.3770499999991</v>
      </c>
    </row>
    <row r="651" spans="1:13" x14ac:dyDescent="0.4">
      <c r="A651" t="s">
        <v>25</v>
      </c>
      <c r="B651">
        <v>2</v>
      </c>
      <c r="C651" s="36">
        <v>88423.45</v>
      </c>
      <c r="D651" s="1">
        <v>45170</v>
      </c>
      <c r="E651" s="35">
        <f t="shared" si="70"/>
        <v>0.51</v>
      </c>
      <c r="F651" s="37">
        <f t="shared" si="71"/>
        <v>44211.724999999999</v>
      </c>
      <c r="G651" s="37">
        <f t="shared" si="72"/>
        <v>22547.979749999999</v>
      </c>
      <c r="H651" s="36" cm="1">
        <f t="array" ref="H651">SUMPRODUCT((C651&gt;tier_floor)*((C651-tier_floor)*step)*margin_rate)</f>
        <v>15922.979749999999</v>
      </c>
      <c r="I651" s="37">
        <f t="shared" si="73"/>
        <v>6625</v>
      </c>
      <c r="J651" s="38">
        <f t="shared" si="74"/>
        <v>2023</v>
      </c>
      <c r="K651" s="128">
        <f>(1+target)^($J651-(MIN(tbl_rep_mon[year])))</f>
        <v>1.3224999999999998</v>
      </c>
      <c r="L651" s="35">
        <f t="shared" si="75"/>
        <v>0.42</v>
      </c>
      <c r="M651" s="37">
        <f t="shared" si="76"/>
        <v>18568.924499999997</v>
      </c>
    </row>
    <row r="652" spans="1:13" x14ac:dyDescent="0.4">
      <c r="A652" t="s">
        <v>26</v>
      </c>
      <c r="B652">
        <v>2</v>
      </c>
      <c r="C652" s="36">
        <v>60096.05</v>
      </c>
      <c r="D652" s="1">
        <v>45170</v>
      </c>
      <c r="E652" s="35">
        <f t="shared" si="70"/>
        <v>0.42</v>
      </c>
      <c r="F652" s="37">
        <f t="shared" si="71"/>
        <v>30048.025000000001</v>
      </c>
      <c r="G652" s="37">
        <f t="shared" si="72"/>
        <v>12620.1705</v>
      </c>
      <c r="H652" s="36" cm="1">
        <f t="array" ref="H652">SUMPRODUCT((C652&gt;tier_floor)*((C652-tier_floor)*step)*margin_rate)</f>
        <v>9370.1705000000002</v>
      </c>
      <c r="I652" s="37">
        <f t="shared" si="73"/>
        <v>3250</v>
      </c>
      <c r="J652" s="38">
        <f t="shared" si="74"/>
        <v>2023</v>
      </c>
      <c r="K652" s="128">
        <f>(1+target)^($J652-(MIN(tbl_rep_mon[year])))</f>
        <v>1.3224999999999998</v>
      </c>
      <c r="L652" s="35">
        <f t="shared" si="75"/>
        <v>0.33</v>
      </c>
      <c r="M652" s="37">
        <f t="shared" si="76"/>
        <v>9915.8482500000009</v>
      </c>
    </row>
    <row r="653" spans="1:13" x14ac:dyDescent="0.4">
      <c r="A653" t="s">
        <v>29</v>
      </c>
      <c r="B653">
        <v>1</v>
      </c>
      <c r="C653" s="36">
        <v>92095.77</v>
      </c>
      <c r="D653" s="1">
        <v>45170</v>
      </c>
      <c r="E653" s="35">
        <f t="shared" si="70"/>
        <v>0.51</v>
      </c>
      <c r="F653" s="37">
        <f t="shared" si="71"/>
        <v>46047.885000000002</v>
      </c>
      <c r="G653" s="37">
        <f t="shared" si="72"/>
        <v>23484.421350000001</v>
      </c>
      <c r="H653" s="36" cm="1">
        <f t="array" ref="H653">SUMPRODUCT((C653&gt;tier_floor)*((C653-tier_floor)*step)*margin_rate)</f>
        <v>16859.421350000001</v>
      </c>
      <c r="I653" s="37">
        <f t="shared" si="73"/>
        <v>6625</v>
      </c>
      <c r="J653" s="38">
        <f t="shared" si="74"/>
        <v>2023</v>
      </c>
      <c r="K653" s="128">
        <f>(1+target)^($J653-(MIN(tbl_rep_mon[year])))</f>
        <v>1.3224999999999998</v>
      </c>
      <c r="L653" s="35">
        <f t="shared" si="75"/>
        <v>0.42</v>
      </c>
      <c r="M653" s="37">
        <f t="shared" si="76"/>
        <v>19340.111700000001</v>
      </c>
    </row>
    <row r="654" spans="1:13" x14ac:dyDescent="0.4">
      <c r="A654" t="s">
        <v>32</v>
      </c>
      <c r="B654">
        <v>4</v>
      </c>
      <c r="C654" s="36">
        <v>77421.279999999999</v>
      </c>
      <c r="D654" s="1">
        <v>45170</v>
      </c>
      <c r="E654" s="35">
        <f t="shared" si="70"/>
        <v>0.51</v>
      </c>
      <c r="F654" s="37">
        <f t="shared" si="71"/>
        <v>38710.639999999999</v>
      </c>
      <c r="G654" s="37">
        <f t="shared" si="72"/>
        <v>19742.4264</v>
      </c>
      <c r="H654" s="36" cm="1">
        <f t="array" ref="H654">SUMPRODUCT((C654&gt;tier_floor)*((C654-tier_floor)*step)*margin_rate)</f>
        <v>13117.4264</v>
      </c>
      <c r="I654" s="37">
        <f t="shared" si="73"/>
        <v>6625</v>
      </c>
      <c r="J654" s="38">
        <f t="shared" si="74"/>
        <v>2023</v>
      </c>
      <c r="K654" s="128">
        <f>(1+target)^($J654-(MIN(tbl_rep_mon[year])))</f>
        <v>1.3224999999999998</v>
      </c>
      <c r="L654" s="35">
        <f t="shared" si="75"/>
        <v>0.42</v>
      </c>
      <c r="M654" s="37">
        <f t="shared" si="76"/>
        <v>16258.468799999999</v>
      </c>
    </row>
    <row r="655" spans="1:13" x14ac:dyDescent="0.4">
      <c r="A655" t="s">
        <v>33</v>
      </c>
      <c r="B655">
        <v>3</v>
      </c>
      <c r="C655" s="36">
        <v>59756.639999999999</v>
      </c>
      <c r="D655" s="1">
        <v>45170</v>
      </c>
      <c r="E655" s="35">
        <f t="shared" si="70"/>
        <v>0.42</v>
      </c>
      <c r="F655" s="37">
        <f t="shared" si="71"/>
        <v>29878.32</v>
      </c>
      <c r="G655" s="37">
        <f t="shared" si="72"/>
        <v>12548.894399999999</v>
      </c>
      <c r="H655" s="36" cm="1">
        <f t="array" ref="H655">SUMPRODUCT((C655&gt;tier_floor)*((C655-tier_floor)*step)*margin_rate)</f>
        <v>9298.894400000001</v>
      </c>
      <c r="I655" s="37">
        <f t="shared" si="73"/>
        <v>3249.9999999999982</v>
      </c>
      <c r="J655" s="38">
        <f t="shared" si="74"/>
        <v>2023</v>
      </c>
      <c r="K655" s="128">
        <f>(1+target)^($J655-(MIN(tbl_rep_mon[year])))</f>
        <v>1.3224999999999998</v>
      </c>
      <c r="L655" s="35">
        <f t="shared" si="75"/>
        <v>0.33</v>
      </c>
      <c r="M655" s="37">
        <f t="shared" si="76"/>
        <v>9859.8456000000006</v>
      </c>
    </row>
    <row r="656" spans="1:13" x14ac:dyDescent="0.4">
      <c r="A656" t="s">
        <v>34</v>
      </c>
      <c r="B656">
        <v>4</v>
      </c>
      <c r="C656" s="36">
        <v>73885.710000000006</v>
      </c>
      <c r="D656" s="1">
        <v>45170</v>
      </c>
      <c r="E656" s="35">
        <f t="shared" si="70"/>
        <v>0.42</v>
      </c>
      <c r="F656" s="37">
        <f t="shared" si="71"/>
        <v>36942.855000000003</v>
      </c>
      <c r="G656" s="37">
        <f t="shared" si="72"/>
        <v>15515.999100000001</v>
      </c>
      <c r="H656" s="36" cm="1">
        <f t="array" ref="H656">SUMPRODUCT((C656&gt;tier_floor)*((C656-tier_floor)*step)*margin_rate)</f>
        <v>12265.999100000001</v>
      </c>
      <c r="I656" s="37">
        <f t="shared" si="73"/>
        <v>3250</v>
      </c>
      <c r="J656" s="38">
        <f t="shared" si="74"/>
        <v>2023</v>
      </c>
      <c r="K656" s="128">
        <f>(1+target)^($J656-(MIN(tbl_rep_mon[year])))</f>
        <v>1.3224999999999998</v>
      </c>
      <c r="L656" s="35">
        <f t="shared" si="75"/>
        <v>0.42</v>
      </c>
      <c r="M656" s="37">
        <f t="shared" si="76"/>
        <v>15515.999100000001</v>
      </c>
    </row>
    <row r="657" spans="1:13" x14ac:dyDescent="0.4">
      <c r="A657" t="s">
        <v>35</v>
      </c>
      <c r="B657">
        <v>4</v>
      </c>
      <c r="C657" s="36">
        <v>63413.54</v>
      </c>
      <c r="D657" s="1">
        <v>45170</v>
      </c>
      <c r="E657" s="35">
        <f t="shared" si="70"/>
        <v>0.42</v>
      </c>
      <c r="F657" s="37">
        <f t="shared" si="71"/>
        <v>31706.77</v>
      </c>
      <c r="G657" s="37">
        <f t="shared" si="72"/>
        <v>13316.8434</v>
      </c>
      <c r="H657" s="36" cm="1">
        <f t="array" ref="H657">SUMPRODUCT((C657&gt;tier_floor)*((C657-tier_floor)*step)*margin_rate)</f>
        <v>10066.8434</v>
      </c>
      <c r="I657" s="37">
        <f t="shared" si="73"/>
        <v>3250</v>
      </c>
      <c r="J657" s="38">
        <f t="shared" si="74"/>
        <v>2023</v>
      </c>
      <c r="K657" s="128">
        <f>(1+target)^($J657-(MIN(tbl_rep_mon[year])))</f>
        <v>1.3224999999999998</v>
      </c>
      <c r="L657" s="35">
        <f t="shared" si="75"/>
        <v>0.33</v>
      </c>
      <c r="M657" s="37">
        <f t="shared" si="76"/>
        <v>10463.234100000001</v>
      </c>
    </row>
    <row r="658" spans="1:13" x14ac:dyDescent="0.4">
      <c r="A658" t="s">
        <v>37</v>
      </c>
      <c r="B658">
        <v>4</v>
      </c>
      <c r="C658" s="36">
        <v>82365.2</v>
      </c>
      <c r="D658" s="1">
        <v>45170</v>
      </c>
      <c r="E658" s="35">
        <f t="shared" si="70"/>
        <v>0.51</v>
      </c>
      <c r="F658" s="37">
        <f t="shared" si="71"/>
        <v>41182.6</v>
      </c>
      <c r="G658" s="37">
        <f t="shared" si="72"/>
        <v>21003.126</v>
      </c>
      <c r="H658" s="36" cm="1">
        <f t="array" ref="H658">SUMPRODUCT((C658&gt;tier_floor)*((C658-tier_floor)*step)*margin_rate)</f>
        <v>14378.125999999998</v>
      </c>
      <c r="I658" s="37">
        <f t="shared" si="73"/>
        <v>6625.0000000000018</v>
      </c>
      <c r="J658" s="38">
        <f t="shared" si="74"/>
        <v>2023</v>
      </c>
      <c r="K658" s="128">
        <f>(1+target)^($J658-(MIN(tbl_rep_mon[year])))</f>
        <v>1.3224999999999998</v>
      </c>
      <c r="L658" s="35">
        <f t="shared" si="75"/>
        <v>0.42</v>
      </c>
      <c r="M658" s="37">
        <f t="shared" si="76"/>
        <v>17296.691999999999</v>
      </c>
    </row>
    <row r="659" spans="1:13" x14ac:dyDescent="0.4">
      <c r="A659" t="s">
        <v>38</v>
      </c>
      <c r="B659">
        <v>2</v>
      </c>
      <c r="C659" s="36">
        <v>91428.35</v>
      </c>
      <c r="D659" s="1">
        <v>45170</v>
      </c>
      <c r="E659" s="35">
        <f t="shared" si="70"/>
        <v>0.51</v>
      </c>
      <c r="F659" s="37">
        <f t="shared" si="71"/>
        <v>45714.175000000003</v>
      </c>
      <c r="G659" s="37">
        <f t="shared" si="72"/>
        <v>23314.22925</v>
      </c>
      <c r="H659" s="36" cm="1">
        <f t="array" ref="H659">SUMPRODUCT((C659&gt;tier_floor)*((C659-tier_floor)*step)*margin_rate)</f>
        <v>16689.22925</v>
      </c>
      <c r="I659" s="37">
        <f t="shared" si="73"/>
        <v>6625</v>
      </c>
      <c r="J659" s="38">
        <f t="shared" si="74"/>
        <v>2023</v>
      </c>
      <c r="K659" s="128">
        <f>(1+target)^($J659-(MIN(tbl_rep_mon[year])))</f>
        <v>1.3224999999999998</v>
      </c>
      <c r="L659" s="35">
        <f t="shared" si="75"/>
        <v>0.42</v>
      </c>
      <c r="M659" s="37">
        <f t="shared" si="76"/>
        <v>19199.9535</v>
      </c>
    </row>
    <row r="660" spans="1:13" x14ac:dyDescent="0.4">
      <c r="A660" t="s">
        <v>39</v>
      </c>
      <c r="B660">
        <v>2</v>
      </c>
      <c r="C660" s="36">
        <v>77781</v>
      </c>
      <c r="D660" s="1">
        <v>45170</v>
      </c>
      <c r="E660" s="35">
        <f t="shared" si="70"/>
        <v>0.51</v>
      </c>
      <c r="F660" s="37">
        <f t="shared" si="71"/>
        <v>38890.5</v>
      </c>
      <c r="G660" s="37">
        <f t="shared" si="72"/>
        <v>19834.154999999999</v>
      </c>
      <c r="H660" s="36" cm="1">
        <f t="array" ref="H660">SUMPRODUCT((C660&gt;tier_floor)*((C660-tier_floor)*step)*margin_rate)</f>
        <v>13209.154999999999</v>
      </c>
      <c r="I660" s="37">
        <f t="shared" si="73"/>
        <v>6625</v>
      </c>
      <c r="J660" s="38">
        <f t="shared" si="74"/>
        <v>2023</v>
      </c>
      <c r="K660" s="128">
        <f>(1+target)^($J660-(MIN(tbl_rep_mon[year])))</f>
        <v>1.3224999999999998</v>
      </c>
      <c r="L660" s="35">
        <f t="shared" si="75"/>
        <v>0.42</v>
      </c>
      <c r="M660" s="37">
        <f t="shared" si="76"/>
        <v>16334.01</v>
      </c>
    </row>
    <row r="661" spans="1:13" x14ac:dyDescent="0.4">
      <c r="A661" t="s">
        <v>40</v>
      </c>
      <c r="B661">
        <v>4</v>
      </c>
      <c r="C661" s="36">
        <v>49424.1</v>
      </c>
      <c r="D661" s="1">
        <v>45170</v>
      </c>
      <c r="E661" s="35">
        <f t="shared" si="70"/>
        <v>0.33</v>
      </c>
      <c r="F661" s="37">
        <f t="shared" si="71"/>
        <v>24712.05</v>
      </c>
      <c r="G661" s="37">
        <f t="shared" si="72"/>
        <v>8154.9764999999998</v>
      </c>
      <c r="H661" s="36" cm="1">
        <f t="array" ref="H661">SUMPRODUCT((C661&gt;tier_floor)*((C661-tier_floor)*step)*margin_rate)</f>
        <v>7154.9764999999998</v>
      </c>
      <c r="I661" s="37">
        <f t="shared" si="73"/>
        <v>1000</v>
      </c>
      <c r="J661" s="38">
        <f t="shared" si="74"/>
        <v>2023</v>
      </c>
      <c r="K661" s="128">
        <f>(1+target)^($J661-(MIN(tbl_rep_mon[year])))</f>
        <v>1.3224999999999998</v>
      </c>
      <c r="L661" s="35">
        <f t="shared" si="75"/>
        <v>0.33</v>
      </c>
      <c r="M661" s="37">
        <f t="shared" si="76"/>
        <v>8154.9764999999998</v>
      </c>
    </row>
    <row r="662" spans="1:13" x14ac:dyDescent="0.4">
      <c r="A662" t="s">
        <v>6</v>
      </c>
      <c r="B662">
        <v>2</v>
      </c>
      <c r="C662" s="36">
        <v>67792.3</v>
      </c>
      <c r="D662" s="1">
        <v>45200</v>
      </c>
      <c r="E662" s="35">
        <f t="shared" si="70"/>
        <v>0.42</v>
      </c>
      <c r="F662" s="37">
        <f t="shared" si="71"/>
        <v>33896.15</v>
      </c>
      <c r="G662" s="37">
        <f t="shared" si="72"/>
        <v>14236.383</v>
      </c>
      <c r="H662" s="36" cm="1">
        <f t="array" ref="H662">SUMPRODUCT((C662&gt;tier_floor)*((C662-tier_floor)*step)*margin_rate)</f>
        <v>10986.383000000002</v>
      </c>
      <c r="I662" s="37">
        <f t="shared" si="73"/>
        <v>3249.9999999999982</v>
      </c>
      <c r="J662" s="38">
        <f t="shared" si="74"/>
        <v>2023</v>
      </c>
      <c r="K662" s="128">
        <f>(1+target)^($J662-(MIN(tbl_rep_mon[year])))</f>
        <v>1.3224999999999998</v>
      </c>
      <c r="L662" s="35">
        <f t="shared" si="75"/>
        <v>0.42</v>
      </c>
      <c r="M662" s="37">
        <f t="shared" si="76"/>
        <v>14236.383</v>
      </c>
    </row>
    <row r="663" spans="1:13" x14ac:dyDescent="0.4">
      <c r="A663" t="s">
        <v>7</v>
      </c>
      <c r="B663">
        <v>4</v>
      </c>
      <c r="C663" s="36">
        <v>56568.5</v>
      </c>
      <c r="D663" s="1">
        <v>45200</v>
      </c>
      <c r="E663" s="35">
        <f t="shared" si="70"/>
        <v>0.42</v>
      </c>
      <c r="F663" s="37">
        <f t="shared" si="71"/>
        <v>28284.25</v>
      </c>
      <c r="G663" s="37">
        <f t="shared" si="72"/>
        <v>11879.385</v>
      </c>
      <c r="H663" s="36" cm="1">
        <f t="array" ref="H663">SUMPRODUCT((C663&gt;tier_floor)*((C663-tier_floor)*step)*margin_rate)</f>
        <v>8629.3850000000002</v>
      </c>
      <c r="I663" s="37">
        <f t="shared" si="73"/>
        <v>3250</v>
      </c>
      <c r="J663" s="38">
        <f t="shared" si="74"/>
        <v>2023</v>
      </c>
      <c r="K663" s="128">
        <f>(1+target)^($J663-(MIN(tbl_rep_mon[year])))</f>
        <v>1.3224999999999998</v>
      </c>
      <c r="L663" s="35">
        <f t="shared" si="75"/>
        <v>0.33</v>
      </c>
      <c r="M663" s="37">
        <f t="shared" si="76"/>
        <v>9333.8024999999998</v>
      </c>
    </row>
    <row r="664" spans="1:13" x14ac:dyDescent="0.4">
      <c r="A664" t="s">
        <v>8</v>
      </c>
      <c r="B664">
        <v>4</v>
      </c>
      <c r="C664" s="36">
        <v>64672.67</v>
      </c>
      <c r="D664" s="1">
        <v>45200</v>
      </c>
      <c r="E664" s="35">
        <f t="shared" si="70"/>
        <v>0.42</v>
      </c>
      <c r="F664" s="37">
        <f t="shared" si="71"/>
        <v>32336.334999999999</v>
      </c>
      <c r="G664" s="37">
        <f t="shared" si="72"/>
        <v>13581.260699999999</v>
      </c>
      <c r="H664" s="36" cm="1">
        <f t="array" ref="H664">SUMPRODUCT((C664&gt;tier_floor)*((C664-tier_floor)*step)*margin_rate)</f>
        <v>10331.260700000001</v>
      </c>
      <c r="I664" s="37">
        <f t="shared" si="73"/>
        <v>3249.9999999999982</v>
      </c>
      <c r="J664" s="38">
        <f t="shared" si="74"/>
        <v>2023</v>
      </c>
      <c r="K664" s="128">
        <f>(1+target)^($J664-(MIN(tbl_rep_mon[year])))</f>
        <v>1.3224999999999998</v>
      </c>
      <c r="L664" s="35">
        <f t="shared" si="75"/>
        <v>0.33</v>
      </c>
      <c r="M664" s="37">
        <f t="shared" si="76"/>
        <v>10670.99055</v>
      </c>
    </row>
    <row r="665" spans="1:13" x14ac:dyDescent="0.4">
      <c r="A665" t="s">
        <v>15</v>
      </c>
      <c r="B665">
        <v>3</v>
      </c>
      <c r="C665" s="36">
        <v>78799.08</v>
      </c>
      <c r="D665" s="1">
        <v>45200</v>
      </c>
      <c r="E665" s="35">
        <f t="shared" si="70"/>
        <v>0.51</v>
      </c>
      <c r="F665" s="37">
        <f t="shared" si="71"/>
        <v>39399.54</v>
      </c>
      <c r="G665" s="37">
        <f t="shared" si="72"/>
        <v>20093.7654</v>
      </c>
      <c r="H665" s="36" cm="1">
        <f t="array" ref="H665">SUMPRODUCT((C665&gt;tier_floor)*((C665-tier_floor)*step)*margin_rate)</f>
        <v>13468.7654</v>
      </c>
      <c r="I665" s="37">
        <f t="shared" si="73"/>
        <v>6625</v>
      </c>
      <c r="J665" s="38">
        <f t="shared" si="74"/>
        <v>2023</v>
      </c>
      <c r="K665" s="128">
        <f>(1+target)^($J665-(MIN(tbl_rep_mon[year])))</f>
        <v>1.3224999999999998</v>
      </c>
      <c r="L665" s="35">
        <f t="shared" si="75"/>
        <v>0.42</v>
      </c>
      <c r="M665" s="37">
        <f t="shared" si="76"/>
        <v>16547.806799999998</v>
      </c>
    </row>
    <row r="666" spans="1:13" x14ac:dyDescent="0.4">
      <c r="A666" t="s">
        <v>16</v>
      </c>
      <c r="B666">
        <v>3</v>
      </c>
      <c r="C666" s="36">
        <v>93359.41</v>
      </c>
      <c r="D666" s="1">
        <v>45200</v>
      </c>
      <c r="E666" s="35">
        <f t="shared" si="70"/>
        <v>0.51</v>
      </c>
      <c r="F666" s="37">
        <f t="shared" si="71"/>
        <v>46679.705000000002</v>
      </c>
      <c r="G666" s="37">
        <f t="shared" si="72"/>
        <v>23806.649550000002</v>
      </c>
      <c r="H666" s="36" cm="1">
        <f t="array" ref="H666">SUMPRODUCT((C666&gt;tier_floor)*((C666-tier_floor)*step)*margin_rate)</f>
        <v>17181.649550000002</v>
      </c>
      <c r="I666" s="37">
        <f t="shared" si="73"/>
        <v>6625</v>
      </c>
      <c r="J666" s="38">
        <f t="shared" si="74"/>
        <v>2023</v>
      </c>
      <c r="K666" s="128">
        <f>(1+target)^($J666-(MIN(tbl_rep_mon[year])))</f>
        <v>1.3224999999999998</v>
      </c>
      <c r="L666" s="35">
        <f t="shared" si="75"/>
        <v>0.42</v>
      </c>
      <c r="M666" s="37">
        <f t="shared" si="76"/>
        <v>19605.4761</v>
      </c>
    </row>
    <row r="667" spans="1:13" x14ac:dyDescent="0.4">
      <c r="A667" t="s">
        <v>18</v>
      </c>
      <c r="B667">
        <v>3</v>
      </c>
      <c r="C667" s="36">
        <v>86639.97</v>
      </c>
      <c r="D667" s="1">
        <v>45200</v>
      </c>
      <c r="E667" s="35">
        <f t="shared" si="70"/>
        <v>0.51</v>
      </c>
      <c r="F667" s="37">
        <f t="shared" si="71"/>
        <v>43319.985000000001</v>
      </c>
      <c r="G667" s="37">
        <f t="shared" si="72"/>
        <v>22093.192350000001</v>
      </c>
      <c r="H667" s="36" cm="1">
        <f t="array" ref="H667">SUMPRODUCT((C667&gt;tier_floor)*((C667-tier_floor)*step)*margin_rate)</f>
        <v>15468.192349999999</v>
      </c>
      <c r="I667" s="37">
        <f t="shared" si="73"/>
        <v>6625.0000000000018</v>
      </c>
      <c r="J667" s="38">
        <f t="shared" si="74"/>
        <v>2023</v>
      </c>
      <c r="K667" s="128">
        <f>(1+target)^($J667-(MIN(tbl_rep_mon[year])))</f>
        <v>1.3224999999999998</v>
      </c>
      <c r="L667" s="35">
        <f t="shared" si="75"/>
        <v>0.42</v>
      </c>
      <c r="M667" s="37">
        <f t="shared" si="76"/>
        <v>18194.393700000001</v>
      </c>
    </row>
    <row r="668" spans="1:13" x14ac:dyDescent="0.4">
      <c r="A668" t="s">
        <v>19</v>
      </c>
      <c r="B668">
        <v>4</v>
      </c>
      <c r="C668" s="36">
        <v>62915.17</v>
      </c>
      <c r="D668" s="1">
        <v>45200</v>
      </c>
      <c r="E668" s="35">
        <f t="shared" si="70"/>
        <v>0.42</v>
      </c>
      <c r="F668" s="37">
        <f t="shared" si="71"/>
        <v>31457.584999999999</v>
      </c>
      <c r="G668" s="37">
        <f t="shared" si="72"/>
        <v>13212.1857</v>
      </c>
      <c r="H668" s="36" cm="1">
        <f t="array" ref="H668">SUMPRODUCT((C668&gt;tier_floor)*((C668-tier_floor)*step)*margin_rate)</f>
        <v>9962.1856999999982</v>
      </c>
      <c r="I668" s="37">
        <f t="shared" si="73"/>
        <v>3250.0000000000018</v>
      </c>
      <c r="J668" s="38">
        <f t="shared" si="74"/>
        <v>2023</v>
      </c>
      <c r="K668" s="128">
        <f>(1+target)^($J668-(MIN(tbl_rep_mon[year])))</f>
        <v>1.3224999999999998</v>
      </c>
      <c r="L668" s="35">
        <f t="shared" si="75"/>
        <v>0.33</v>
      </c>
      <c r="M668" s="37">
        <f t="shared" si="76"/>
        <v>10381.003049999999</v>
      </c>
    </row>
    <row r="669" spans="1:13" x14ac:dyDescent="0.4">
      <c r="A669" t="s">
        <v>23</v>
      </c>
      <c r="B669">
        <v>1</v>
      </c>
      <c r="C669" s="36">
        <v>110967.1</v>
      </c>
      <c r="D669" s="1">
        <v>45200</v>
      </c>
      <c r="E669" s="35">
        <f t="shared" si="70"/>
        <v>0.6</v>
      </c>
      <c r="F669" s="37">
        <f t="shared" si="71"/>
        <v>55483.55</v>
      </c>
      <c r="G669" s="37">
        <f t="shared" si="72"/>
        <v>33290.129999999997</v>
      </c>
      <c r="H669" s="36" cm="1">
        <f t="array" ref="H669">SUMPRODUCT((C669&gt;tier_floor)*((C669-tier_floor)*step)*margin_rate)</f>
        <v>22165.13</v>
      </c>
      <c r="I669" s="37">
        <f t="shared" si="73"/>
        <v>11124.999999999996</v>
      </c>
      <c r="J669" s="38">
        <f t="shared" si="74"/>
        <v>2023</v>
      </c>
      <c r="K669" s="128">
        <f>(1+target)^($J669-(MIN(tbl_rep_mon[year])))</f>
        <v>1.3224999999999998</v>
      </c>
      <c r="L669" s="35">
        <f t="shared" si="75"/>
        <v>0.51</v>
      </c>
      <c r="M669" s="37">
        <f t="shared" si="76"/>
        <v>28296.610500000003</v>
      </c>
    </row>
    <row r="670" spans="1:13" x14ac:dyDescent="0.4">
      <c r="A670" t="s">
        <v>24</v>
      </c>
      <c r="B670">
        <v>3</v>
      </c>
      <c r="C670" s="36">
        <v>56910.47</v>
      </c>
      <c r="D670" s="1">
        <v>45200</v>
      </c>
      <c r="E670" s="35">
        <f t="shared" si="70"/>
        <v>0.42</v>
      </c>
      <c r="F670" s="37">
        <f t="shared" si="71"/>
        <v>28455.235000000001</v>
      </c>
      <c r="G670" s="37">
        <f t="shared" si="72"/>
        <v>11951.198699999999</v>
      </c>
      <c r="H670" s="36" cm="1">
        <f t="array" ref="H670">SUMPRODUCT((C670&gt;tier_floor)*((C670-tier_floor)*step)*margin_rate)</f>
        <v>8701.198699999999</v>
      </c>
      <c r="I670" s="37">
        <f t="shared" si="73"/>
        <v>3250</v>
      </c>
      <c r="J670" s="38">
        <f t="shared" si="74"/>
        <v>2023</v>
      </c>
      <c r="K670" s="128">
        <f>(1+target)^($J670-(MIN(tbl_rep_mon[year])))</f>
        <v>1.3224999999999998</v>
      </c>
      <c r="L670" s="35">
        <f t="shared" si="75"/>
        <v>0.33</v>
      </c>
      <c r="M670" s="37">
        <f t="shared" si="76"/>
        <v>9390.2275500000014</v>
      </c>
    </row>
    <row r="671" spans="1:13" x14ac:dyDescent="0.4">
      <c r="A671" t="s">
        <v>25</v>
      </c>
      <c r="B671">
        <v>2</v>
      </c>
      <c r="C671" s="36">
        <v>57292.52</v>
      </c>
      <c r="D671" s="1">
        <v>45200</v>
      </c>
      <c r="E671" s="35">
        <f t="shared" si="70"/>
        <v>0.42</v>
      </c>
      <c r="F671" s="37">
        <f t="shared" si="71"/>
        <v>28646.26</v>
      </c>
      <c r="G671" s="37">
        <f t="shared" si="72"/>
        <v>12031.429199999999</v>
      </c>
      <c r="H671" s="36" cm="1">
        <f t="array" ref="H671">SUMPRODUCT((C671&gt;tier_floor)*((C671-tier_floor)*step)*margin_rate)</f>
        <v>8781.4291999999987</v>
      </c>
      <c r="I671" s="37">
        <f t="shared" si="73"/>
        <v>3250</v>
      </c>
      <c r="J671" s="38">
        <f t="shared" si="74"/>
        <v>2023</v>
      </c>
      <c r="K671" s="128">
        <f>(1+target)^($J671-(MIN(tbl_rep_mon[year])))</f>
        <v>1.3224999999999998</v>
      </c>
      <c r="L671" s="35">
        <f t="shared" si="75"/>
        <v>0.33</v>
      </c>
      <c r="M671" s="37">
        <f t="shared" si="76"/>
        <v>9453.2657999999992</v>
      </c>
    </row>
    <row r="672" spans="1:13" x14ac:dyDescent="0.4">
      <c r="A672" t="s">
        <v>26</v>
      </c>
      <c r="B672">
        <v>2</v>
      </c>
      <c r="C672" s="36">
        <v>57370.879999999997</v>
      </c>
      <c r="D672" s="1">
        <v>45200</v>
      </c>
      <c r="E672" s="35">
        <f t="shared" si="70"/>
        <v>0.42</v>
      </c>
      <c r="F672" s="37">
        <f t="shared" si="71"/>
        <v>28685.439999999999</v>
      </c>
      <c r="G672" s="37">
        <f t="shared" si="72"/>
        <v>12047.8848</v>
      </c>
      <c r="H672" s="36" cm="1">
        <f t="array" ref="H672">SUMPRODUCT((C672&gt;tier_floor)*((C672-tier_floor)*step)*margin_rate)</f>
        <v>8797.8847999999998</v>
      </c>
      <c r="I672" s="37">
        <f t="shared" si="73"/>
        <v>3250</v>
      </c>
      <c r="J672" s="38">
        <f t="shared" si="74"/>
        <v>2023</v>
      </c>
      <c r="K672" s="128">
        <f>(1+target)^($J672-(MIN(tbl_rep_mon[year])))</f>
        <v>1.3224999999999998</v>
      </c>
      <c r="L672" s="35">
        <f t="shared" si="75"/>
        <v>0.33</v>
      </c>
      <c r="M672" s="37">
        <f t="shared" si="76"/>
        <v>9466.1952000000001</v>
      </c>
    </row>
    <row r="673" spans="1:13" x14ac:dyDescent="0.4">
      <c r="A673" t="s">
        <v>29</v>
      </c>
      <c r="B673">
        <v>1</v>
      </c>
      <c r="C673" s="36">
        <v>84992.66</v>
      </c>
      <c r="D673" s="1">
        <v>45200</v>
      </c>
      <c r="E673" s="35">
        <f t="shared" si="70"/>
        <v>0.51</v>
      </c>
      <c r="F673" s="37">
        <f t="shared" si="71"/>
        <v>42496.33</v>
      </c>
      <c r="G673" s="37">
        <f t="shared" si="72"/>
        <v>21673.1283</v>
      </c>
      <c r="H673" s="36" cm="1">
        <f t="array" ref="H673">SUMPRODUCT((C673&gt;tier_floor)*((C673-tier_floor)*step)*margin_rate)</f>
        <v>15048.128300000002</v>
      </c>
      <c r="I673" s="37">
        <f t="shared" si="73"/>
        <v>6624.9999999999982</v>
      </c>
      <c r="J673" s="38">
        <f t="shared" si="74"/>
        <v>2023</v>
      </c>
      <c r="K673" s="128">
        <f>(1+target)^($J673-(MIN(tbl_rep_mon[year])))</f>
        <v>1.3224999999999998</v>
      </c>
      <c r="L673" s="35">
        <f t="shared" si="75"/>
        <v>0.42</v>
      </c>
      <c r="M673" s="37">
        <f t="shared" si="76"/>
        <v>17848.458600000002</v>
      </c>
    </row>
    <row r="674" spans="1:13" x14ac:dyDescent="0.4">
      <c r="A674" t="s">
        <v>32</v>
      </c>
      <c r="B674">
        <v>4</v>
      </c>
      <c r="C674" s="36">
        <v>65921.17</v>
      </c>
      <c r="D674" s="1">
        <v>45200</v>
      </c>
      <c r="E674" s="35">
        <f t="shared" si="70"/>
        <v>0.42</v>
      </c>
      <c r="F674" s="37">
        <f t="shared" si="71"/>
        <v>32960.584999999999</v>
      </c>
      <c r="G674" s="37">
        <f t="shared" si="72"/>
        <v>13843.445699999998</v>
      </c>
      <c r="H674" s="36" cm="1">
        <f t="array" ref="H674">SUMPRODUCT((C674&gt;tier_floor)*((C674-tier_floor)*step)*margin_rate)</f>
        <v>10593.4457</v>
      </c>
      <c r="I674" s="37">
        <f t="shared" si="73"/>
        <v>3249.9999999999982</v>
      </c>
      <c r="J674" s="38">
        <f t="shared" si="74"/>
        <v>2023</v>
      </c>
      <c r="K674" s="128">
        <f>(1+target)^($J674-(MIN(tbl_rep_mon[year])))</f>
        <v>1.3224999999999998</v>
      </c>
      <c r="L674" s="35">
        <f t="shared" si="75"/>
        <v>0.33</v>
      </c>
      <c r="M674" s="37">
        <f t="shared" si="76"/>
        <v>10876.993050000001</v>
      </c>
    </row>
    <row r="675" spans="1:13" x14ac:dyDescent="0.4">
      <c r="A675" t="s">
        <v>33</v>
      </c>
      <c r="B675">
        <v>3</v>
      </c>
      <c r="C675" s="36">
        <v>50789.21</v>
      </c>
      <c r="D675" s="1">
        <v>45200</v>
      </c>
      <c r="E675" s="35">
        <f t="shared" si="70"/>
        <v>0.42</v>
      </c>
      <c r="F675" s="37">
        <f t="shared" si="71"/>
        <v>25394.605</v>
      </c>
      <c r="G675" s="37">
        <f t="shared" si="72"/>
        <v>10665.7341</v>
      </c>
      <c r="H675" s="36" cm="1">
        <f t="array" ref="H675">SUMPRODUCT((C675&gt;tier_floor)*((C675-tier_floor)*step)*margin_rate)</f>
        <v>7415.7340999999997</v>
      </c>
      <c r="I675" s="37">
        <f t="shared" si="73"/>
        <v>3250</v>
      </c>
      <c r="J675" s="38">
        <f t="shared" si="74"/>
        <v>2023</v>
      </c>
      <c r="K675" s="128">
        <f>(1+target)^($J675-(MIN(tbl_rep_mon[year])))</f>
        <v>1.3224999999999998</v>
      </c>
      <c r="L675" s="35">
        <f t="shared" si="75"/>
        <v>0.33</v>
      </c>
      <c r="M675" s="37">
        <f t="shared" si="76"/>
        <v>8380.2196500000009</v>
      </c>
    </row>
    <row r="676" spans="1:13" x14ac:dyDescent="0.4">
      <c r="A676" t="s">
        <v>34</v>
      </c>
      <c r="B676">
        <v>4</v>
      </c>
      <c r="C676" s="36">
        <v>63645.79</v>
      </c>
      <c r="D676" s="1">
        <v>45200</v>
      </c>
      <c r="E676" s="35">
        <f t="shared" si="70"/>
        <v>0.42</v>
      </c>
      <c r="F676" s="37">
        <f t="shared" si="71"/>
        <v>31822.895</v>
      </c>
      <c r="G676" s="37">
        <f t="shared" si="72"/>
        <v>13365.615899999999</v>
      </c>
      <c r="H676" s="36" cm="1">
        <f t="array" ref="H676">SUMPRODUCT((C676&gt;tier_floor)*((C676-tier_floor)*step)*margin_rate)</f>
        <v>10115.615900000001</v>
      </c>
      <c r="I676" s="37">
        <f t="shared" si="73"/>
        <v>3249.9999999999982</v>
      </c>
      <c r="J676" s="38">
        <f t="shared" si="74"/>
        <v>2023</v>
      </c>
      <c r="K676" s="128">
        <f>(1+target)^($J676-(MIN(tbl_rep_mon[year])))</f>
        <v>1.3224999999999998</v>
      </c>
      <c r="L676" s="35">
        <f t="shared" si="75"/>
        <v>0.33</v>
      </c>
      <c r="M676" s="37">
        <f t="shared" si="76"/>
        <v>10501.555350000001</v>
      </c>
    </row>
    <row r="677" spans="1:13" x14ac:dyDescent="0.4">
      <c r="A677" t="s">
        <v>35</v>
      </c>
      <c r="B677">
        <v>4</v>
      </c>
      <c r="C677" s="36">
        <v>63080.85</v>
      </c>
      <c r="D677" s="1">
        <v>45200</v>
      </c>
      <c r="E677" s="35">
        <f t="shared" si="70"/>
        <v>0.42</v>
      </c>
      <c r="F677" s="37">
        <f t="shared" si="71"/>
        <v>31540.424999999999</v>
      </c>
      <c r="G677" s="37">
        <f t="shared" si="72"/>
        <v>13246.978499999999</v>
      </c>
      <c r="H677" s="36" cm="1">
        <f t="array" ref="H677">SUMPRODUCT((C677&gt;tier_floor)*((C677-tier_floor)*step)*margin_rate)</f>
        <v>9996.9784999999993</v>
      </c>
      <c r="I677" s="37">
        <f t="shared" si="73"/>
        <v>3250</v>
      </c>
      <c r="J677" s="38">
        <f t="shared" si="74"/>
        <v>2023</v>
      </c>
      <c r="K677" s="128">
        <f>(1+target)^($J677-(MIN(tbl_rep_mon[year])))</f>
        <v>1.3224999999999998</v>
      </c>
      <c r="L677" s="35">
        <f t="shared" si="75"/>
        <v>0.33</v>
      </c>
      <c r="M677" s="37">
        <f t="shared" si="76"/>
        <v>10408.340250000001</v>
      </c>
    </row>
    <row r="678" spans="1:13" x14ac:dyDescent="0.4">
      <c r="A678" t="s">
        <v>37</v>
      </c>
      <c r="B678">
        <v>4</v>
      </c>
      <c r="C678" s="36">
        <v>56341.42</v>
      </c>
      <c r="D678" s="1">
        <v>45200</v>
      </c>
      <c r="E678" s="35">
        <f t="shared" si="70"/>
        <v>0.42</v>
      </c>
      <c r="F678" s="37">
        <f t="shared" si="71"/>
        <v>28170.71</v>
      </c>
      <c r="G678" s="37">
        <f t="shared" si="72"/>
        <v>11831.698199999999</v>
      </c>
      <c r="H678" s="36" cm="1">
        <f t="array" ref="H678">SUMPRODUCT((C678&gt;tier_floor)*((C678-tier_floor)*step)*margin_rate)</f>
        <v>8581.6982000000007</v>
      </c>
      <c r="I678" s="37">
        <f t="shared" si="73"/>
        <v>3249.9999999999982</v>
      </c>
      <c r="J678" s="38">
        <f t="shared" si="74"/>
        <v>2023</v>
      </c>
      <c r="K678" s="128">
        <f>(1+target)^($J678-(MIN(tbl_rep_mon[year])))</f>
        <v>1.3224999999999998</v>
      </c>
      <c r="L678" s="35">
        <f t="shared" si="75"/>
        <v>0.33</v>
      </c>
      <c r="M678" s="37">
        <f t="shared" si="76"/>
        <v>9296.3343000000004</v>
      </c>
    </row>
    <row r="679" spans="1:13" x14ac:dyDescent="0.4">
      <c r="A679" t="s">
        <v>38</v>
      </c>
      <c r="B679">
        <v>2</v>
      </c>
      <c r="C679" s="36">
        <v>86612.83</v>
      </c>
      <c r="D679" s="1">
        <v>45200</v>
      </c>
      <c r="E679" s="35">
        <f t="shared" si="70"/>
        <v>0.51</v>
      </c>
      <c r="F679" s="37">
        <f t="shared" si="71"/>
        <v>43306.415000000001</v>
      </c>
      <c r="G679" s="37">
        <f t="shared" si="72"/>
        <v>22086.271650000002</v>
      </c>
      <c r="H679" s="36" cm="1">
        <f t="array" ref="H679">SUMPRODUCT((C679&gt;tier_floor)*((C679-tier_floor)*step)*margin_rate)</f>
        <v>15461.271649999999</v>
      </c>
      <c r="I679" s="37">
        <f t="shared" si="73"/>
        <v>6625.0000000000036</v>
      </c>
      <c r="J679" s="38">
        <f t="shared" si="74"/>
        <v>2023</v>
      </c>
      <c r="K679" s="128">
        <f>(1+target)^($J679-(MIN(tbl_rep_mon[year])))</f>
        <v>1.3224999999999998</v>
      </c>
      <c r="L679" s="35">
        <f t="shared" si="75"/>
        <v>0.42</v>
      </c>
      <c r="M679" s="37">
        <f t="shared" si="76"/>
        <v>18188.694299999999</v>
      </c>
    </row>
    <row r="680" spans="1:13" x14ac:dyDescent="0.4">
      <c r="A680" t="s">
        <v>39</v>
      </c>
      <c r="B680">
        <v>2</v>
      </c>
      <c r="C680" s="36">
        <v>66719.88</v>
      </c>
      <c r="D680" s="1">
        <v>45200</v>
      </c>
      <c r="E680" s="35">
        <f t="shared" si="70"/>
        <v>0.42</v>
      </c>
      <c r="F680" s="37">
        <f t="shared" si="71"/>
        <v>33359.94</v>
      </c>
      <c r="G680" s="37">
        <f t="shared" si="72"/>
        <v>14011.174800000001</v>
      </c>
      <c r="H680" s="36" cm="1">
        <f t="array" ref="H680">SUMPRODUCT((C680&gt;tier_floor)*((C680-tier_floor)*step)*margin_rate)</f>
        <v>10761.174800000001</v>
      </c>
      <c r="I680" s="37">
        <f t="shared" si="73"/>
        <v>3250</v>
      </c>
      <c r="J680" s="38">
        <f t="shared" si="74"/>
        <v>2023</v>
      </c>
      <c r="K680" s="128">
        <f>(1+target)^($J680-(MIN(tbl_rep_mon[year])))</f>
        <v>1.3224999999999998</v>
      </c>
      <c r="L680" s="35">
        <f t="shared" si="75"/>
        <v>0.42</v>
      </c>
      <c r="M680" s="37">
        <f t="shared" si="76"/>
        <v>14011.174800000001</v>
      </c>
    </row>
    <row r="681" spans="1:13" x14ac:dyDescent="0.4">
      <c r="A681" t="s">
        <v>40</v>
      </c>
      <c r="B681">
        <v>4</v>
      </c>
      <c r="C681" s="36">
        <v>44010.720000000001</v>
      </c>
      <c r="D681" s="1">
        <v>45200</v>
      </c>
      <c r="E681" s="35">
        <f t="shared" si="70"/>
        <v>0.33</v>
      </c>
      <c r="F681" s="37">
        <f t="shared" si="71"/>
        <v>22005.360000000001</v>
      </c>
      <c r="G681" s="37">
        <f t="shared" si="72"/>
        <v>7261.7688000000007</v>
      </c>
      <c r="H681" s="36" cm="1">
        <f t="array" ref="H681">SUMPRODUCT((C681&gt;tier_floor)*((C681-tier_floor)*step)*margin_rate)</f>
        <v>6261.7687999999998</v>
      </c>
      <c r="I681" s="37">
        <f t="shared" si="73"/>
        <v>1000.0000000000009</v>
      </c>
      <c r="J681" s="38">
        <f t="shared" si="74"/>
        <v>2023</v>
      </c>
      <c r="K681" s="128">
        <f>(1+target)^($J681-(MIN(tbl_rep_mon[year])))</f>
        <v>1.3224999999999998</v>
      </c>
      <c r="L681" s="35">
        <f t="shared" si="75"/>
        <v>0.33</v>
      </c>
      <c r="M681" s="37">
        <f t="shared" si="76"/>
        <v>7261.7688000000007</v>
      </c>
    </row>
    <row r="682" spans="1:13" x14ac:dyDescent="0.4">
      <c r="A682" t="s">
        <v>6</v>
      </c>
      <c r="B682">
        <v>2</v>
      </c>
      <c r="C682" s="36">
        <v>56055.39</v>
      </c>
      <c r="D682" s="1">
        <v>45231</v>
      </c>
      <c r="E682" s="35">
        <f t="shared" si="70"/>
        <v>0.42</v>
      </c>
      <c r="F682" s="37">
        <f t="shared" si="71"/>
        <v>28027.695</v>
      </c>
      <c r="G682" s="37">
        <f t="shared" si="72"/>
        <v>11771.6319</v>
      </c>
      <c r="H682" s="36" cm="1">
        <f t="array" ref="H682">SUMPRODUCT((C682&gt;tier_floor)*((C682-tier_floor)*step)*margin_rate)</f>
        <v>8521.6318999999985</v>
      </c>
      <c r="I682" s="37">
        <f t="shared" si="73"/>
        <v>3250.0000000000018</v>
      </c>
      <c r="J682" s="38">
        <f t="shared" si="74"/>
        <v>2023</v>
      </c>
      <c r="K682" s="128">
        <f>(1+target)^($J682-(MIN(tbl_rep_mon[year])))</f>
        <v>1.3224999999999998</v>
      </c>
      <c r="L682" s="35">
        <f t="shared" si="75"/>
        <v>0.33</v>
      </c>
      <c r="M682" s="37">
        <f t="shared" si="76"/>
        <v>9249.1393499999995</v>
      </c>
    </row>
    <row r="683" spans="1:13" x14ac:dyDescent="0.4">
      <c r="A683" t="s">
        <v>7</v>
      </c>
      <c r="B683">
        <v>4</v>
      </c>
      <c r="C683" s="36">
        <v>56431.73</v>
      </c>
      <c r="D683" s="1">
        <v>45231</v>
      </c>
      <c r="E683" s="35">
        <f t="shared" si="70"/>
        <v>0.42</v>
      </c>
      <c r="F683" s="37">
        <f t="shared" si="71"/>
        <v>28215.865000000002</v>
      </c>
      <c r="G683" s="37">
        <f t="shared" si="72"/>
        <v>11850.6633</v>
      </c>
      <c r="H683" s="36" cm="1">
        <f t="array" ref="H683">SUMPRODUCT((C683&gt;tier_floor)*((C683-tier_floor)*step)*margin_rate)</f>
        <v>8600.6633000000002</v>
      </c>
      <c r="I683" s="37">
        <f t="shared" si="73"/>
        <v>3250</v>
      </c>
      <c r="J683" s="38">
        <f t="shared" si="74"/>
        <v>2023</v>
      </c>
      <c r="K683" s="128">
        <f>(1+target)^($J683-(MIN(tbl_rep_mon[year])))</f>
        <v>1.3224999999999998</v>
      </c>
      <c r="L683" s="35">
        <f t="shared" si="75"/>
        <v>0.33</v>
      </c>
      <c r="M683" s="37">
        <f t="shared" si="76"/>
        <v>9311.2354500000001</v>
      </c>
    </row>
    <row r="684" spans="1:13" x14ac:dyDescent="0.4">
      <c r="A684" t="s">
        <v>8</v>
      </c>
      <c r="B684">
        <v>4</v>
      </c>
      <c r="C684" s="36">
        <v>47123.75</v>
      </c>
      <c r="D684" s="1">
        <v>45231</v>
      </c>
      <c r="E684" s="35">
        <f t="shared" si="70"/>
        <v>0.33</v>
      </c>
      <c r="F684" s="37">
        <f t="shared" si="71"/>
        <v>23561.875</v>
      </c>
      <c r="G684" s="37">
        <f t="shared" si="72"/>
        <v>7775.4187500000007</v>
      </c>
      <c r="H684" s="36" cm="1">
        <f t="array" ref="H684">SUMPRODUCT((C684&gt;tier_floor)*((C684-tier_floor)*step)*margin_rate)</f>
        <v>6775.4187499999998</v>
      </c>
      <c r="I684" s="37">
        <f t="shared" si="73"/>
        <v>1000.0000000000009</v>
      </c>
      <c r="J684" s="38">
        <f t="shared" si="74"/>
        <v>2023</v>
      </c>
      <c r="K684" s="128">
        <f>(1+target)^($J684-(MIN(tbl_rep_mon[year])))</f>
        <v>1.3224999999999998</v>
      </c>
      <c r="L684" s="35">
        <f t="shared" si="75"/>
        <v>0.33</v>
      </c>
      <c r="M684" s="37">
        <f t="shared" si="76"/>
        <v>7775.4187500000007</v>
      </c>
    </row>
    <row r="685" spans="1:13" x14ac:dyDescent="0.4">
      <c r="A685" t="s">
        <v>15</v>
      </c>
      <c r="B685">
        <v>3</v>
      </c>
      <c r="C685" s="36">
        <v>62970.54</v>
      </c>
      <c r="D685" s="1">
        <v>45231</v>
      </c>
      <c r="E685" s="35">
        <f t="shared" si="70"/>
        <v>0.42</v>
      </c>
      <c r="F685" s="37">
        <f t="shared" si="71"/>
        <v>31485.27</v>
      </c>
      <c r="G685" s="37">
        <f t="shared" si="72"/>
        <v>13223.813399999999</v>
      </c>
      <c r="H685" s="36" cm="1">
        <f t="array" ref="H685">SUMPRODUCT((C685&gt;tier_floor)*((C685-tier_floor)*step)*margin_rate)</f>
        <v>9973.8134000000009</v>
      </c>
      <c r="I685" s="37">
        <f t="shared" si="73"/>
        <v>3249.9999999999982</v>
      </c>
      <c r="J685" s="38">
        <f t="shared" si="74"/>
        <v>2023</v>
      </c>
      <c r="K685" s="128">
        <f>(1+target)^($J685-(MIN(tbl_rep_mon[year])))</f>
        <v>1.3224999999999998</v>
      </c>
      <c r="L685" s="35">
        <f t="shared" si="75"/>
        <v>0.33</v>
      </c>
      <c r="M685" s="37">
        <f t="shared" si="76"/>
        <v>10390.1391</v>
      </c>
    </row>
    <row r="686" spans="1:13" x14ac:dyDescent="0.4">
      <c r="A686" t="s">
        <v>16</v>
      </c>
      <c r="B686">
        <v>3</v>
      </c>
      <c r="C686" s="36">
        <v>73068.33</v>
      </c>
      <c r="D686" s="1">
        <v>45231</v>
      </c>
      <c r="E686" s="35">
        <f t="shared" si="70"/>
        <v>0.42</v>
      </c>
      <c r="F686" s="37">
        <f t="shared" si="71"/>
        <v>36534.165000000001</v>
      </c>
      <c r="G686" s="37">
        <f t="shared" si="72"/>
        <v>15344.3493</v>
      </c>
      <c r="H686" s="36" cm="1">
        <f t="array" ref="H686">SUMPRODUCT((C686&gt;tier_floor)*((C686-tier_floor)*step)*margin_rate)</f>
        <v>12094.3493</v>
      </c>
      <c r="I686" s="37">
        <f t="shared" si="73"/>
        <v>3250</v>
      </c>
      <c r="J686" s="38">
        <f t="shared" si="74"/>
        <v>2023</v>
      </c>
      <c r="K686" s="128">
        <f>(1+target)^($J686-(MIN(tbl_rep_mon[year])))</f>
        <v>1.3224999999999998</v>
      </c>
      <c r="L686" s="35">
        <f t="shared" si="75"/>
        <v>0.42</v>
      </c>
      <c r="M686" s="37">
        <f t="shared" si="76"/>
        <v>15344.3493</v>
      </c>
    </row>
    <row r="687" spans="1:13" x14ac:dyDescent="0.4">
      <c r="A687" t="s">
        <v>18</v>
      </c>
      <c r="B687">
        <v>3</v>
      </c>
      <c r="C687" s="36">
        <v>71824.070000000007</v>
      </c>
      <c r="D687" s="1">
        <v>45231</v>
      </c>
      <c r="E687" s="35">
        <f t="shared" si="70"/>
        <v>0.42</v>
      </c>
      <c r="F687" s="37">
        <f t="shared" si="71"/>
        <v>35912.035000000003</v>
      </c>
      <c r="G687" s="37">
        <f t="shared" si="72"/>
        <v>15083.054700000001</v>
      </c>
      <c r="H687" s="36" cm="1">
        <f t="array" ref="H687">SUMPRODUCT((C687&gt;tier_floor)*((C687-tier_floor)*step)*margin_rate)</f>
        <v>11833.054700000002</v>
      </c>
      <c r="I687" s="37">
        <f t="shared" si="73"/>
        <v>3249.9999999999982</v>
      </c>
      <c r="J687" s="38">
        <f t="shared" si="74"/>
        <v>2023</v>
      </c>
      <c r="K687" s="128">
        <f>(1+target)^($J687-(MIN(tbl_rep_mon[year])))</f>
        <v>1.3224999999999998</v>
      </c>
      <c r="L687" s="35">
        <f t="shared" si="75"/>
        <v>0.42</v>
      </c>
      <c r="M687" s="37">
        <f t="shared" si="76"/>
        <v>15083.054700000001</v>
      </c>
    </row>
    <row r="688" spans="1:13" x14ac:dyDescent="0.4">
      <c r="A688" t="s">
        <v>19</v>
      </c>
      <c r="B688">
        <v>4</v>
      </c>
      <c r="C688" s="36">
        <v>62510.58</v>
      </c>
      <c r="D688" s="1">
        <v>45231</v>
      </c>
      <c r="E688" s="35">
        <f t="shared" si="70"/>
        <v>0.42</v>
      </c>
      <c r="F688" s="37">
        <f t="shared" si="71"/>
        <v>31255.29</v>
      </c>
      <c r="G688" s="37">
        <f t="shared" si="72"/>
        <v>13127.221799999999</v>
      </c>
      <c r="H688" s="36" cm="1">
        <f t="array" ref="H688">SUMPRODUCT((C688&gt;tier_floor)*((C688-tier_floor)*step)*margin_rate)</f>
        <v>9877.2218000000012</v>
      </c>
      <c r="I688" s="37">
        <f t="shared" si="73"/>
        <v>3249.9999999999982</v>
      </c>
      <c r="J688" s="38">
        <f t="shared" si="74"/>
        <v>2023</v>
      </c>
      <c r="K688" s="128">
        <f>(1+target)^($J688-(MIN(tbl_rep_mon[year])))</f>
        <v>1.3224999999999998</v>
      </c>
      <c r="L688" s="35">
        <f t="shared" si="75"/>
        <v>0.33</v>
      </c>
      <c r="M688" s="37">
        <f t="shared" si="76"/>
        <v>10314.245700000001</v>
      </c>
    </row>
    <row r="689" spans="1:13" x14ac:dyDescent="0.4">
      <c r="A689" t="s">
        <v>23</v>
      </c>
      <c r="B689">
        <v>1</v>
      </c>
      <c r="C689" s="36">
        <v>105199.33</v>
      </c>
      <c r="D689" s="1">
        <v>45231</v>
      </c>
      <c r="E689" s="35">
        <f t="shared" si="70"/>
        <v>0.6</v>
      </c>
      <c r="F689" s="37">
        <f t="shared" si="71"/>
        <v>52599.665000000001</v>
      </c>
      <c r="G689" s="37">
        <f t="shared" si="72"/>
        <v>31559.798999999999</v>
      </c>
      <c r="H689" s="36" cm="1">
        <f t="array" ref="H689">SUMPRODUCT((C689&gt;tier_floor)*((C689-tier_floor)*step)*margin_rate)</f>
        <v>20434.799000000003</v>
      </c>
      <c r="I689" s="37">
        <f t="shared" si="73"/>
        <v>11124.999999999996</v>
      </c>
      <c r="J689" s="38">
        <f t="shared" si="74"/>
        <v>2023</v>
      </c>
      <c r="K689" s="128">
        <f>(1+target)^($J689-(MIN(tbl_rep_mon[year])))</f>
        <v>1.3224999999999998</v>
      </c>
      <c r="L689" s="35">
        <f t="shared" si="75"/>
        <v>0.51</v>
      </c>
      <c r="M689" s="37">
        <f t="shared" si="76"/>
        <v>26825.829150000001</v>
      </c>
    </row>
    <row r="690" spans="1:13" x14ac:dyDescent="0.4">
      <c r="A690" t="s">
        <v>24</v>
      </c>
      <c r="B690">
        <v>3</v>
      </c>
      <c r="C690" s="36">
        <v>45592.26</v>
      </c>
      <c r="D690" s="1">
        <v>45231</v>
      </c>
      <c r="E690" s="35">
        <f t="shared" si="70"/>
        <v>0.33</v>
      </c>
      <c r="F690" s="37">
        <f t="shared" si="71"/>
        <v>22796.13</v>
      </c>
      <c r="G690" s="37">
        <f t="shared" si="72"/>
        <v>7522.7229000000007</v>
      </c>
      <c r="H690" s="36" cm="1">
        <f t="array" ref="H690">SUMPRODUCT((C690&gt;tier_floor)*((C690-tier_floor)*step)*margin_rate)</f>
        <v>6522.7229000000007</v>
      </c>
      <c r="I690" s="37">
        <f t="shared" si="73"/>
        <v>1000</v>
      </c>
      <c r="J690" s="38">
        <f t="shared" si="74"/>
        <v>2023</v>
      </c>
      <c r="K690" s="128">
        <f>(1+target)^($J690-(MIN(tbl_rep_mon[year])))</f>
        <v>1.3224999999999998</v>
      </c>
      <c r="L690" s="35">
        <f t="shared" si="75"/>
        <v>0.33</v>
      </c>
      <c r="M690" s="37">
        <f t="shared" si="76"/>
        <v>7522.7229000000007</v>
      </c>
    </row>
    <row r="691" spans="1:13" x14ac:dyDescent="0.4">
      <c r="A691" t="s">
        <v>25</v>
      </c>
      <c r="B691">
        <v>2</v>
      </c>
      <c r="C691" s="36">
        <v>59420.62</v>
      </c>
      <c r="D691" s="1">
        <v>45231</v>
      </c>
      <c r="E691" s="35">
        <f t="shared" si="70"/>
        <v>0.42</v>
      </c>
      <c r="F691" s="37">
        <f t="shared" si="71"/>
        <v>29710.31</v>
      </c>
      <c r="G691" s="37">
        <f t="shared" si="72"/>
        <v>12478.3302</v>
      </c>
      <c r="H691" s="36" cm="1">
        <f t="array" ref="H691">SUMPRODUCT((C691&gt;tier_floor)*((C691-tier_floor)*step)*margin_rate)</f>
        <v>9228.3302000000022</v>
      </c>
      <c r="I691" s="37">
        <f t="shared" si="73"/>
        <v>3249.9999999999982</v>
      </c>
      <c r="J691" s="38">
        <f t="shared" si="74"/>
        <v>2023</v>
      </c>
      <c r="K691" s="128">
        <f>(1+target)^($J691-(MIN(tbl_rep_mon[year])))</f>
        <v>1.3224999999999998</v>
      </c>
      <c r="L691" s="35">
        <f t="shared" si="75"/>
        <v>0.33</v>
      </c>
      <c r="M691" s="37">
        <f t="shared" si="76"/>
        <v>9804.4023000000016</v>
      </c>
    </row>
    <row r="692" spans="1:13" x14ac:dyDescent="0.4">
      <c r="A692" t="s">
        <v>26</v>
      </c>
      <c r="B692">
        <v>2</v>
      </c>
      <c r="C692" s="36">
        <v>90444.83</v>
      </c>
      <c r="D692" s="1">
        <v>45231</v>
      </c>
      <c r="E692" s="35">
        <f t="shared" si="70"/>
        <v>0.51</v>
      </c>
      <c r="F692" s="37">
        <f t="shared" si="71"/>
        <v>45222.415000000001</v>
      </c>
      <c r="G692" s="37">
        <f t="shared" si="72"/>
        <v>23063.431650000002</v>
      </c>
      <c r="H692" s="36" cm="1">
        <f t="array" ref="H692">SUMPRODUCT((C692&gt;tier_floor)*((C692-tier_floor)*step)*margin_rate)</f>
        <v>16438.431650000002</v>
      </c>
      <c r="I692" s="37">
        <f t="shared" si="73"/>
        <v>6625</v>
      </c>
      <c r="J692" s="38">
        <f t="shared" si="74"/>
        <v>2023</v>
      </c>
      <c r="K692" s="128">
        <f>(1+target)^($J692-(MIN(tbl_rep_mon[year])))</f>
        <v>1.3224999999999998</v>
      </c>
      <c r="L692" s="35">
        <f t="shared" si="75"/>
        <v>0.42</v>
      </c>
      <c r="M692" s="37">
        <f t="shared" si="76"/>
        <v>18993.4143</v>
      </c>
    </row>
    <row r="693" spans="1:13" x14ac:dyDescent="0.4">
      <c r="A693" t="s">
        <v>29</v>
      </c>
      <c r="B693">
        <v>1</v>
      </c>
      <c r="C693" s="36">
        <v>89511.31</v>
      </c>
      <c r="D693" s="1">
        <v>45231</v>
      </c>
      <c r="E693" s="35">
        <f t="shared" si="70"/>
        <v>0.51</v>
      </c>
      <c r="F693" s="37">
        <f t="shared" si="71"/>
        <v>44755.654999999999</v>
      </c>
      <c r="G693" s="37">
        <f t="shared" si="72"/>
        <v>22825.384050000001</v>
      </c>
      <c r="H693" s="36" cm="1">
        <f t="array" ref="H693">SUMPRODUCT((C693&gt;tier_floor)*((C693-tier_floor)*step)*margin_rate)</f>
        <v>16200.384049999999</v>
      </c>
      <c r="I693" s="37">
        <f t="shared" si="73"/>
        <v>6625.0000000000018</v>
      </c>
      <c r="J693" s="38">
        <f t="shared" si="74"/>
        <v>2023</v>
      </c>
      <c r="K693" s="128">
        <f>(1+target)^($J693-(MIN(tbl_rep_mon[year])))</f>
        <v>1.3224999999999998</v>
      </c>
      <c r="L693" s="35">
        <f t="shared" si="75"/>
        <v>0.42</v>
      </c>
      <c r="M693" s="37">
        <f t="shared" si="76"/>
        <v>18797.375099999997</v>
      </c>
    </row>
    <row r="694" spans="1:13" x14ac:dyDescent="0.4">
      <c r="A694" t="s">
        <v>32</v>
      </c>
      <c r="B694">
        <v>4</v>
      </c>
      <c r="C694" s="36">
        <v>57281.74</v>
      </c>
      <c r="D694" s="1">
        <v>45231</v>
      </c>
      <c r="E694" s="35">
        <f t="shared" si="70"/>
        <v>0.42</v>
      </c>
      <c r="F694" s="37">
        <f t="shared" si="71"/>
        <v>28640.87</v>
      </c>
      <c r="G694" s="37">
        <f t="shared" si="72"/>
        <v>12029.1654</v>
      </c>
      <c r="H694" s="36" cm="1">
        <f t="array" ref="H694">SUMPRODUCT((C694&gt;tier_floor)*((C694-tier_floor)*step)*margin_rate)</f>
        <v>8779.1653999999999</v>
      </c>
      <c r="I694" s="37">
        <f t="shared" si="73"/>
        <v>3250</v>
      </c>
      <c r="J694" s="38">
        <f t="shared" si="74"/>
        <v>2023</v>
      </c>
      <c r="K694" s="128">
        <f>(1+target)^($J694-(MIN(tbl_rep_mon[year])))</f>
        <v>1.3224999999999998</v>
      </c>
      <c r="L694" s="35">
        <f t="shared" si="75"/>
        <v>0.33</v>
      </c>
      <c r="M694" s="37">
        <f t="shared" si="76"/>
        <v>9451.4871000000003</v>
      </c>
    </row>
    <row r="695" spans="1:13" x14ac:dyDescent="0.4">
      <c r="A695" t="s">
        <v>33</v>
      </c>
      <c r="B695">
        <v>3</v>
      </c>
      <c r="C695" s="36">
        <v>50452.76</v>
      </c>
      <c r="D695" s="1">
        <v>45231</v>
      </c>
      <c r="E695" s="35">
        <f t="shared" si="70"/>
        <v>0.42</v>
      </c>
      <c r="F695" s="37">
        <f t="shared" si="71"/>
        <v>25226.38</v>
      </c>
      <c r="G695" s="37">
        <f t="shared" si="72"/>
        <v>10595.079600000001</v>
      </c>
      <c r="H695" s="36" cm="1">
        <f t="array" ref="H695">SUMPRODUCT((C695&gt;tier_floor)*((C695-tier_floor)*step)*margin_rate)</f>
        <v>7345.0796000000009</v>
      </c>
      <c r="I695" s="37">
        <f t="shared" si="73"/>
        <v>3250</v>
      </c>
      <c r="J695" s="38">
        <f t="shared" si="74"/>
        <v>2023</v>
      </c>
      <c r="K695" s="128">
        <f>(1+target)^($J695-(MIN(tbl_rep_mon[year])))</f>
        <v>1.3224999999999998</v>
      </c>
      <c r="L695" s="35">
        <f t="shared" si="75"/>
        <v>0.33</v>
      </c>
      <c r="M695" s="37">
        <f t="shared" si="76"/>
        <v>8324.7054000000007</v>
      </c>
    </row>
    <row r="696" spans="1:13" x14ac:dyDescent="0.4">
      <c r="A696" t="s">
        <v>34</v>
      </c>
      <c r="B696">
        <v>4</v>
      </c>
      <c r="C696" s="36">
        <v>60764.34</v>
      </c>
      <c r="D696" s="1">
        <v>45231</v>
      </c>
      <c r="E696" s="35">
        <f t="shared" si="70"/>
        <v>0.42</v>
      </c>
      <c r="F696" s="37">
        <f t="shared" si="71"/>
        <v>30382.17</v>
      </c>
      <c r="G696" s="37">
        <f t="shared" si="72"/>
        <v>12760.511399999999</v>
      </c>
      <c r="H696" s="36" cm="1">
        <f t="array" ref="H696">SUMPRODUCT((C696&gt;tier_floor)*((C696-tier_floor)*step)*margin_rate)</f>
        <v>9510.5113999999994</v>
      </c>
      <c r="I696" s="37">
        <f t="shared" si="73"/>
        <v>3250</v>
      </c>
      <c r="J696" s="38">
        <f t="shared" si="74"/>
        <v>2023</v>
      </c>
      <c r="K696" s="128">
        <f>(1+target)^($J696-(MIN(tbl_rep_mon[year])))</f>
        <v>1.3224999999999998</v>
      </c>
      <c r="L696" s="35">
        <f t="shared" si="75"/>
        <v>0.33</v>
      </c>
      <c r="M696" s="37">
        <f t="shared" si="76"/>
        <v>10026.116099999999</v>
      </c>
    </row>
    <row r="697" spans="1:13" x14ac:dyDescent="0.4">
      <c r="A697" t="s">
        <v>35</v>
      </c>
      <c r="B697">
        <v>4</v>
      </c>
      <c r="C697" s="36">
        <v>59722.77</v>
      </c>
      <c r="D697" s="1">
        <v>45231</v>
      </c>
      <c r="E697" s="35">
        <f t="shared" si="70"/>
        <v>0.42</v>
      </c>
      <c r="F697" s="37">
        <f t="shared" si="71"/>
        <v>29861.384999999998</v>
      </c>
      <c r="G697" s="37">
        <f t="shared" si="72"/>
        <v>12541.7817</v>
      </c>
      <c r="H697" s="36" cm="1">
        <f t="array" ref="H697">SUMPRODUCT((C697&gt;tier_floor)*((C697-tier_floor)*step)*margin_rate)</f>
        <v>9291.7816999999995</v>
      </c>
      <c r="I697" s="37">
        <f t="shared" si="73"/>
        <v>3250</v>
      </c>
      <c r="J697" s="38">
        <f t="shared" si="74"/>
        <v>2023</v>
      </c>
      <c r="K697" s="128">
        <f>(1+target)^($J697-(MIN(tbl_rep_mon[year])))</f>
        <v>1.3224999999999998</v>
      </c>
      <c r="L697" s="35">
        <f t="shared" si="75"/>
        <v>0.33</v>
      </c>
      <c r="M697" s="37">
        <f t="shared" si="76"/>
        <v>9854.2570500000002</v>
      </c>
    </row>
    <row r="698" spans="1:13" x14ac:dyDescent="0.4">
      <c r="A698" t="s">
        <v>37</v>
      </c>
      <c r="B698">
        <v>4</v>
      </c>
      <c r="C698" s="36">
        <v>59975.83</v>
      </c>
      <c r="D698" s="1">
        <v>45231</v>
      </c>
      <c r="E698" s="35">
        <f t="shared" si="70"/>
        <v>0.42</v>
      </c>
      <c r="F698" s="37">
        <f t="shared" si="71"/>
        <v>29987.915000000001</v>
      </c>
      <c r="G698" s="37">
        <f t="shared" si="72"/>
        <v>12594.924300000001</v>
      </c>
      <c r="H698" s="36" cm="1">
        <f t="array" ref="H698">SUMPRODUCT((C698&gt;tier_floor)*((C698-tier_floor)*step)*margin_rate)</f>
        <v>9344.9243000000006</v>
      </c>
      <c r="I698" s="37">
        <f t="shared" si="73"/>
        <v>3250</v>
      </c>
      <c r="J698" s="38">
        <f t="shared" si="74"/>
        <v>2023</v>
      </c>
      <c r="K698" s="128">
        <f>(1+target)^($J698-(MIN(tbl_rep_mon[year])))</f>
        <v>1.3224999999999998</v>
      </c>
      <c r="L698" s="35">
        <f t="shared" si="75"/>
        <v>0.33</v>
      </c>
      <c r="M698" s="37">
        <f t="shared" si="76"/>
        <v>9896.0119500000001</v>
      </c>
    </row>
    <row r="699" spans="1:13" x14ac:dyDescent="0.4">
      <c r="A699" t="s">
        <v>38</v>
      </c>
      <c r="B699">
        <v>2</v>
      </c>
      <c r="C699" s="36">
        <v>71526.259999999995</v>
      </c>
      <c r="D699" s="1">
        <v>45231</v>
      </c>
      <c r="E699" s="35">
        <f t="shared" si="70"/>
        <v>0.42</v>
      </c>
      <c r="F699" s="37">
        <f t="shared" si="71"/>
        <v>35763.129999999997</v>
      </c>
      <c r="G699" s="37">
        <f t="shared" si="72"/>
        <v>15020.514599999999</v>
      </c>
      <c r="H699" s="36" cm="1">
        <f t="array" ref="H699">SUMPRODUCT((C699&gt;tier_floor)*((C699-tier_floor)*step)*margin_rate)</f>
        <v>11770.514599999999</v>
      </c>
      <c r="I699" s="37">
        <f t="shared" si="73"/>
        <v>3250</v>
      </c>
      <c r="J699" s="38">
        <f t="shared" si="74"/>
        <v>2023</v>
      </c>
      <c r="K699" s="128">
        <f>(1+target)^($J699-(MIN(tbl_rep_mon[year])))</f>
        <v>1.3224999999999998</v>
      </c>
      <c r="L699" s="35">
        <f t="shared" si="75"/>
        <v>0.42</v>
      </c>
      <c r="M699" s="37">
        <f t="shared" si="76"/>
        <v>15020.514599999999</v>
      </c>
    </row>
    <row r="700" spans="1:13" x14ac:dyDescent="0.4">
      <c r="A700" t="s">
        <v>39</v>
      </c>
      <c r="B700">
        <v>2</v>
      </c>
      <c r="C700" s="36">
        <v>70707.08</v>
      </c>
      <c r="D700" s="1">
        <v>45231</v>
      </c>
      <c r="E700" s="35">
        <f t="shared" si="70"/>
        <v>0.42</v>
      </c>
      <c r="F700" s="37">
        <f t="shared" si="71"/>
        <v>35353.54</v>
      </c>
      <c r="G700" s="37">
        <f t="shared" si="72"/>
        <v>14848.486800000001</v>
      </c>
      <c r="H700" s="36" cm="1">
        <f t="array" ref="H700">SUMPRODUCT((C700&gt;tier_floor)*((C700-tier_floor)*step)*margin_rate)</f>
        <v>11598.486800000001</v>
      </c>
      <c r="I700" s="37">
        <f t="shared" si="73"/>
        <v>3250</v>
      </c>
      <c r="J700" s="38">
        <f t="shared" si="74"/>
        <v>2023</v>
      </c>
      <c r="K700" s="128">
        <f>(1+target)^($J700-(MIN(tbl_rep_mon[year])))</f>
        <v>1.3224999999999998</v>
      </c>
      <c r="L700" s="35">
        <f t="shared" si="75"/>
        <v>0.42</v>
      </c>
      <c r="M700" s="37">
        <f t="shared" si="76"/>
        <v>14848.486800000001</v>
      </c>
    </row>
    <row r="701" spans="1:13" x14ac:dyDescent="0.4">
      <c r="A701" t="s">
        <v>40</v>
      </c>
      <c r="B701">
        <v>4</v>
      </c>
      <c r="C701" s="36">
        <v>49652.51</v>
      </c>
      <c r="D701" s="1">
        <v>45231</v>
      </c>
      <c r="E701" s="35">
        <f t="shared" si="70"/>
        <v>0.33</v>
      </c>
      <c r="F701" s="37">
        <f t="shared" si="71"/>
        <v>24826.255000000001</v>
      </c>
      <c r="G701" s="37">
        <f t="shared" si="72"/>
        <v>8192.6641500000005</v>
      </c>
      <c r="H701" s="36" cm="1">
        <f t="array" ref="H701">SUMPRODUCT((C701&gt;tier_floor)*((C701-tier_floor)*step)*margin_rate)</f>
        <v>7192.6641500000005</v>
      </c>
      <c r="I701" s="37">
        <f t="shared" si="73"/>
        <v>1000</v>
      </c>
      <c r="J701" s="38">
        <f t="shared" si="74"/>
        <v>2023</v>
      </c>
      <c r="K701" s="128">
        <f>(1+target)^($J701-(MIN(tbl_rep_mon[year])))</f>
        <v>1.3224999999999998</v>
      </c>
      <c r="L701" s="35">
        <f t="shared" si="75"/>
        <v>0.33</v>
      </c>
      <c r="M701" s="37">
        <f t="shared" si="76"/>
        <v>8192.6641500000005</v>
      </c>
    </row>
    <row r="702" spans="1:13" x14ac:dyDescent="0.4">
      <c r="A702" t="s">
        <v>6</v>
      </c>
      <c r="B702">
        <v>2</v>
      </c>
      <c r="C702" s="36">
        <v>41632.61</v>
      </c>
      <c r="D702" s="1">
        <v>45261</v>
      </c>
      <c r="E702" s="35">
        <f t="shared" si="70"/>
        <v>0.33</v>
      </c>
      <c r="F702" s="37">
        <f t="shared" si="71"/>
        <v>20816.305</v>
      </c>
      <c r="G702" s="37">
        <f t="shared" si="72"/>
        <v>6869.3806500000001</v>
      </c>
      <c r="H702" s="36" cm="1">
        <f t="array" ref="H702">SUMPRODUCT((C702&gt;tier_floor)*((C702-tier_floor)*step)*margin_rate)</f>
        <v>5869.3806500000001</v>
      </c>
      <c r="I702" s="37">
        <f t="shared" si="73"/>
        <v>1000</v>
      </c>
      <c r="J702" s="38">
        <f t="shared" si="74"/>
        <v>2023</v>
      </c>
      <c r="K702" s="128">
        <f>(1+target)^($J702-(MIN(tbl_rep_mon[year])))</f>
        <v>1.3224999999999998</v>
      </c>
      <c r="L702" s="35">
        <f t="shared" si="75"/>
        <v>0.33</v>
      </c>
      <c r="M702" s="37">
        <f t="shared" si="76"/>
        <v>6869.3806500000001</v>
      </c>
    </row>
    <row r="703" spans="1:13" x14ac:dyDescent="0.4">
      <c r="A703" t="s">
        <v>7</v>
      </c>
      <c r="B703">
        <v>4</v>
      </c>
      <c r="C703" s="36">
        <v>61192.160000000003</v>
      </c>
      <c r="D703" s="1">
        <v>45261</v>
      </c>
      <c r="E703" s="35">
        <f t="shared" si="70"/>
        <v>0.42</v>
      </c>
      <c r="F703" s="37">
        <f t="shared" si="71"/>
        <v>30596.080000000002</v>
      </c>
      <c r="G703" s="37">
        <f t="shared" si="72"/>
        <v>12850.3536</v>
      </c>
      <c r="H703" s="36" cm="1">
        <f t="array" ref="H703">SUMPRODUCT((C703&gt;tier_floor)*((C703-tier_floor)*step)*margin_rate)</f>
        <v>9600.3536000000004</v>
      </c>
      <c r="I703" s="37">
        <f t="shared" si="73"/>
        <v>3250</v>
      </c>
      <c r="J703" s="38">
        <f t="shared" si="74"/>
        <v>2023</v>
      </c>
      <c r="K703" s="128">
        <f>(1+target)^($J703-(MIN(tbl_rep_mon[year])))</f>
        <v>1.3224999999999998</v>
      </c>
      <c r="L703" s="35">
        <f t="shared" si="75"/>
        <v>0.33</v>
      </c>
      <c r="M703" s="37">
        <f t="shared" si="76"/>
        <v>10096.706400000001</v>
      </c>
    </row>
    <row r="704" spans="1:13" x14ac:dyDescent="0.4">
      <c r="A704" t="s">
        <v>8</v>
      </c>
      <c r="B704">
        <v>4</v>
      </c>
      <c r="C704" s="36">
        <v>56319.24</v>
      </c>
      <c r="D704" s="1">
        <v>45261</v>
      </c>
      <c r="E704" s="35">
        <f t="shared" si="70"/>
        <v>0.42</v>
      </c>
      <c r="F704" s="37">
        <f t="shared" si="71"/>
        <v>28159.62</v>
      </c>
      <c r="G704" s="37">
        <f t="shared" si="72"/>
        <v>11827.0404</v>
      </c>
      <c r="H704" s="36" cm="1">
        <f t="array" ref="H704">SUMPRODUCT((C704&gt;tier_floor)*((C704-tier_floor)*step)*margin_rate)</f>
        <v>8577.0403999999999</v>
      </c>
      <c r="I704" s="37">
        <f t="shared" si="73"/>
        <v>3250</v>
      </c>
      <c r="J704" s="38">
        <f t="shared" si="74"/>
        <v>2023</v>
      </c>
      <c r="K704" s="128">
        <f>(1+target)^($J704-(MIN(tbl_rep_mon[year])))</f>
        <v>1.3224999999999998</v>
      </c>
      <c r="L704" s="35">
        <f t="shared" si="75"/>
        <v>0.33</v>
      </c>
      <c r="M704" s="37">
        <f t="shared" si="76"/>
        <v>9292.6746000000003</v>
      </c>
    </row>
    <row r="705" spans="1:13" x14ac:dyDescent="0.4">
      <c r="A705" t="s">
        <v>15</v>
      </c>
      <c r="B705">
        <v>3</v>
      </c>
      <c r="C705" s="36">
        <v>75563.3</v>
      </c>
      <c r="D705" s="1">
        <v>45261</v>
      </c>
      <c r="E705" s="35">
        <f t="shared" si="70"/>
        <v>0.51</v>
      </c>
      <c r="F705" s="37">
        <f t="shared" si="71"/>
        <v>37781.65</v>
      </c>
      <c r="G705" s="37">
        <f t="shared" si="72"/>
        <v>19268.641500000002</v>
      </c>
      <c r="H705" s="36" cm="1">
        <f t="array" ref="H705">SUMPRODUCT((C705&gt;tier_floor)*((C705-tier_floor)*step)*margin_rate)</f>
        <v>12643.641500000002</v>
      </c>
      <c r="I705" s="37">
        <f t="shared" si="73"/>
        <v>6625</v>
      </c>
      <c r="J705" s="38">
        <f t="shared" si="74"/>
        <v>2023</v>
      </c>
      <c r="K705" s="128">
        <f>(1+target)^($J705-(MIN(tbl_rep_mon[year])))</f>
        <v>1.3224999999999998</v>
      </c>
      <c r="L705" s="35">
        <f t="shared" si="75"/>
        <v>0.42</v>
      </c>
      <c r="M705" s="37">
        <f t="shared" si="76"/>
        <v>15868.293</v>
      </c>
    </row>
    <row r="706" spans="1:13" x14ac:dyDescent="0.4">
      <c r="A706" t="s">
        <v>16</v>
      </c>
      <c r="B706">
        <v>3</v>
      </c>
      <c r="C706" s="36">
        <v>73110.259999999995</v>
      </c>
      <c r="D706" s="1">
        <v>45261</v>
      </c>
      <c r="E706" s="35">
        <f t="shared" ref="E706:E769" si="77">_xlfn.XLOOKUP(C706,tier_floor,tier_rate,,-1)</f>
        <v>0.42</v>
      </c>
      <c r="F706" s="37">
        <f t="shared" ref="F706:F769" si="78">C706*margin_rate</f>
        <v>36555.129999999997</v>
      </c>
      <c r="G706" s="37">
        <f t="shared" ref="G706:G769" si="79">F706*E706</f>
        <v>15353.154599999998</v>
      </c>
      <c r="H706" s="36" cm="1">
        <f t="array" ref="H706">SUMPRODUCT((C706&gt;tier_floor)*((C706-tier_floor)*step)*margin_rate)</f>
        <v>12103.1546</v>
      </c>
      <c r="I706" s="37">
        <f t="shared" ref="I706:I769" si="80">G706-H706</f>
        <v>3249.9999999999982</v>
      </c>
      <c r="J706" s="38">
        <f t="shared" ref="J706:J769" si="81">YEAR(D706)</f>
        <v>2023</v>
      </c>
      <c r="K706" s="128">
        <f>(1+target)^($J706-(MIN(tbl_rep_mon[year])))</f>
        <v>1.3224999999999998</v>
      </c>
      <c r="L706" s="35">
        <f t="shared" ref="L706:L769" si="82">_xlfn.XLOOKUP(($C706/$K706),tier_floor,tier_rate,,-1)</f>
        <v>0.42</v>
      </c>
      <c r="M706" s="37">
        <f t="shared" ref="M706:M769" si="83">$F706*$L706</f>
        <v>15353.154599999998</v>
      </c>
    </row>
    <row r="707" spans="1:13" x14ac:dyDescent="0.4">
      <c r="A707" t="s">
        <v>18</v>
      </c>
      <c r="B707">
        <v>3</v>
      </c>
      <c r="C707" s="36">
        <v>68538.990000000005</v>
      </c>
      <c r="D707" s="1">
        <v>45261</v>
      </c>
      <c r="E707" s="35">
        <f t="shared" si="77"/>
        <v>0.42</v>
      </c>
      <c r="F707" s="37">
        <f t="shared" si="78"/>
        <v>34269.495000000003</v>
      </c>
      <c r="G707" s="37">
        <f t="shared" si="79"/>
        <v>14393.187900000001</v>
      </c>
      <c r="H707" s="36" cm="1">
        <f t="array" ref="H707">SUMPRODUCT((C707&gt;tier_floor)*((C707-tier_floor)*step)*margin_rate)</f>
        <v>11143.187900000001</v>
      </c>
      <c r="I707" s="37">
        <f t="shared" si="80"/>
        <v>3250</v>
      </c>
      <c r="J707" s="38">
        <f t="shared" si="81"/>
        <v>2023</v>
      </c>
      <c r="K707" s="128">
        <f>(1+target)^($J707-(MIN(tbl_rep_mon[year])))</f>
        <v>1.3224999999999998</v>
      </c>
      <c r="L707" s="35">
        <f t="shared" si="82"/>
        <v>0.42</v>
      </c>
      <c r="M707" s="37">
        <f t="shared" si="83"/>
        <v>14393.187900000001</v>
      </c>
    </row>
    <row r="708" spans="1:13" x14ac:dyDescent="0.4">
      <c r="A708" t="s">
        <v>19</v>
      </c>
      <c r="B708">
        <v>4</v>
      </c>
      <c r="C708" s="36">
        <v>73968.710000000006</v>
      </c>
      <c r="D708" s="1">
        <v>45261</v>
      </c>
      <c r="E708" s="35">
        <f t="shared" si="77"/>
        <v>0.42</v>
      </c>
      <c r="F708" s="37">
        <f t="shared" si="78"/>
        <v>36984.355000000003</v>
      </c>
      <c r="G708" s="37">
        <f t="shared" si="79"/>
        <v>15533.429100000001</v>
      </c>
      <c r="H708" s="36" cm="1">
        <f t="array" ref="H708">SUMPRODUCT((C708&gt;tier_floor)*((C708-tier_floor)*step)*margin_rate)</f>
        <v>12283.429100000001</v>
      </c>
      <c r="I708" s="37">
        <f t="shared" si="80"/>
        <v>3250</v>
      </c>
      <c r="J708" s="38">
        <f t="shared" si="81"/>
        <v>2023</v>
      </c>
      <c r="K708" s="128">
        <f>(1+target)^($J708-(MIN(tbl_rep_mon[year])))</f>
        <v>1.3224999999999998</v>
      </c>
      <c r="L708" s="35">
        <f t="shared" si="82"/>
        <v>0.42</v>
      </c>
      <c r="M708" s="37">
        <f t="shared" si="83"/>
        <v>15533.429100000001</v>
      </c>
    </row>
    <row r="709" spans="1:13" x14ac:dyDescent="0.4">
      <c r="A709" t="s">
        <v>23</v>
      </c>
      <c r="B709">
        <v>1</v>
      </c>
      <c r="C709" s="36">
        <v>101530.89</v>
      </c>
      <c r="D709" s="1">
        <v>45261</v>
      </c>
      <c r="E709" s="35">
        <f t="shared" si="77"/>
        <v>0.6</v>
      </c>
      <c r="F709" s="37">
        <f t="shared" si="78"/>
        <v>50765.445</v>
      </c>
      <c r="G709" s="37">
        <f t="shared" si="79"/>
        <v>30459.267</v>
      </c>
      <c r="H709" s="36" cm="1">
        <f t="array" ref="H709">SUMPRODUCT((C709&gt;tier_floor)*((C709-tier_floor)*step)*margin_rate)</f>
        <v>19334.267</v>
      </c>
      <c r="I709" s="37">
        <f t="shared" si="80"/>
        <v>11125</v>
      </c>
      <c r="J709" s="38">
        <f t="shared" si="81"/>
        <v>2023</v>
      </c>
      <c r="K709" s="128">
        <f>(1+target)^($J709-(MIN(tbl_rep_mon[year])))</f>
        <v>1.3224999999999998</v>
      </c>
      <c r="L709" s="35">
        <f t="shared" si="82"/>
        <v>0.51</v>
      </c>
      <c r="M709" s="37">
        <f t="shared" si="83"/>
        <v>25890.376950000002</v>
      </c>
    </row>
    <row r="710" spans="1:13" x14ac:dyDescent="0.4">
      <c r="A710" t="s">
        <v>24</v>
      </c>
      <c r="B710">
        <v>3</v>
      </c>
      <c r="C710" s="36">
        <v>56204.04</v>
      </c>
      <c r="D710" s="1">
        <v>45261</v>
      </c>
      <c r="E710" s="35">
        <f t="shared" si="77"/>
        <v>0.42</v>
      </c>
      <c r="F710" s="37">
        <f t="shared" si="78"/>
        <v>28102.02</v>
      </c>
      <c r="G710" s="37">
        <f t="shared" si="79"/>
        <v>11802.848399999999</v>
      </c>
      <c r="H710" s="36" cm="1">
        <f t="array" ref="H710">SUMPRODUCT((C710&gt;tier_floor)*((C710-tier_floor)*step)*margin_rate)</f>
        <v>8552.8484000000008</v>
      </c>
      <c r="I710" s="37">
        <f t="shared" si="80"/>
        <v>3249.9999999999982</v>
      </c>
      <c r="J710" s="38">
        <f t="shared" si="81"/>
        <v>2023</v>
      </c>
      <c r="K710" s="128">
        <f>(1+target)^($J710-(MIN(tbl_rep_mon[year])))</f>
        <v>1.3224999999999998</v>
      </c>
      <c r="L710" s="35">
        <f t="shared" si="82"/>
        <v>0.33</v>
      </c>
      <c r="M710" s="37">
        <f t="shared" si="83"/>
        <v>9273.6666000000005</v>
      </c>
    </row>
    <row r="711" spans="1:13" x14ac:dyDescent="0.4">
      <c r="A711" t="s">
        <v>25</v>
      </c>
      <c r="B711">
        <v>2</v>
      </c>
      <c r="C711" s="36">
        <v>67658.27</v>
      </c>
      <c r="D711" s="1">
        <v>45261</v>
      </c>
      <c r="E711" s="35">
        <f t="shared" si="77"/>
        <v>0.42</v>
      </c>
      <c r="F711" s="37">
        <f t="shared" si="78"/>
        <v>33829.135000000002</v>
      </c>
      <c r="G711" s="37">
        <f t="shared" si="79"/>
        <v>14208.236699999999</v>
      </c>
      <c r="H711" s="36" cm="1">
        <f t="array" ref="H711">SUMPRODUCT((C711&gt;tier_floor)*((C711-tier_floor)*step)*margin_rate)</f>
        <v>10958.236699999999</v>
      </c>
      <c r="I711" s="37">
        <f t="shared" si="80"/>
        <v>3250</v>
      </c>
      <c r="J711" s="38">
        <f t="shared" si="81"/>
        <v>2023</v>
      </c>
      <c r="K711" s="128">
        <f>(1+target)^($J711-(MIN(tbl_rep_mon[year])))</f>
        <v>1.3224999999999998</v>
      </c>
      <c r="L711" s="35">
        <f t="shared" si="82"/>
        <v>0.42</v>
      </c>
      <c r="M711" s="37">
        <f t="shared" si="83"/>
        <v>14208.236699999999</v>
      </c>
    </row>
    <row r="712" spans="1:13" x14ac:dyDescent="0.4">
      <c r="A712" t="s">
        <v>26</v>
      </c>
      <c r="B712">
        <v>2</v>
      </c>
      <c r="C712" s="36">
        <v>77972.62</v>
      </c>
      <c r="D712" s="1">
        <v>45261</v>
      </c>
      <c r="E712" s="35">
        <f t="shared" si="77"/>
        <v>0.51</v>
      </c>
      <c r="F712" s="37">
        <f t="shared" si="78"/>
        <v>38986.31</v>
      </c>
      <c r="G712" s="37">
        <f t="shared" si="79"/>
        <v>19883.018099999998</v>
      </c>
      <c r="H712" s="36" cm="1">
        <f t="array" ref="H712">SUMPRODUCT((C712&gt;tier_floor)*((C712-tier_floor)*step)*margin_rate)</f>
        <v>13258.018099999998</v>
      </c>
      <c r="I712" s="37">
        <f t="shared" si="80"/>
        <v>6625</v>
      </c>
      <c r="J712" s="38">
        <f t="shared" si="81"/>
        <v>2023</v>
      </c>
      <c r="K712" s="128">
        <f>(1+target)^($J712-(MIN(tbl_rep_mon[year])))</f>
        <v>1.3224999999999998</v>
      </c>
      <c r="L712" s="35">
        <f t="shared" si="82"/>
        <v>0.42</v>
      </c>
      <c r="M712" s="37">
        <f t="shared" si="83"/>
        <v>16374.250199999999</v>
      </c>
    </row>
    <row r="713" spans="1:13" x14ac:dyDescent="0.4">
      <c r="A713" t="s">
        <v>29</v>
      </c>
      <c r="B713">
        <v>1</v>
      </c>
      <c r="C713" s="36">
        <v>79444.28</v>
      </c>
      <c r="D713" s="1">
        <v>45261</v>
      </c>
      <c r="E713" s="35">
        <f t="shared" si="77"/>
        <v>0.51</v>
      </c>
      <c r="F713" s="37">
        <f t="shared" si="78"/>
        <v>39722.14</v>
      </c>
      <c r="G713" s="37">
        <f t="shared" si="79"/>
        <v>20258.291399999998</v>
      </c>
      <c r="H713" s="36" cm="1">
        <f t="array" ref="H713">SUMPRODUCT((C713&gt;tier_floor)*((C713-tier_floor)*step)*margin_rate)</f>
        <v>13633.2914</v>
      </c>
      <c r="I713" s="37">
        <f t="shared" si="80"/>
        <v>6624.9999999999982</v>
      </c>
      <c r="J713" s="38">
        <f t="shared" si="81"/>
        <v>2023</v>
      </c>
      <c r="K713" s="128">
        <f>(1+target)^($J713-(MIN(tbl_rep_mon[year])))</f>
        <v>1.3224999999999998</v>
      </c>
      <c r="L713" s="35">
        <f t="shared" si="82"/>
        <v>0.42</v>
      </c>
      <c r="M713" s="37">
        <f t="shared" si="83"/>
        <v>16683.2988</v>
      </c>
    </row>
    <row r="714" spans="1:13" x14ac:dyDescent="0.4">
      <c r="A714" t="s">
        <v>32</v>
      </c>
      <c r="B714">
        <v>4</v>
      </c>
      <c r="C714" s="36">
        <v>72629.84</v>
      </c>
      <c r="D714" s="1">
        <v>45261</v>
      </c>
      <c r="E714" s="35">
        <f t="shared" si="77"/>
        <v>0.42</v>
      </c>
      <c r="F714" s="37">
        <f t="shared" si="78"/>
        <v>36314.92</v>
      </c>
      <c r="G714" s="37">
        <f t="shared" si="79"/>
        <v>15252.266399999999</v>
      </c>
      <c r="H714" s="36" cm="1">
        <f t="array" ref="H714">SUMPRODUCT((C714&gt;tier_floor)*((C714-tier_floor)*step)*margin_rate)</f>
        <v>12002.2664</v>
      </c>
      <c r="I714" s="37">
        <f t="shared" si="80"/>
        <v>3249.9999999999982</v>
      </c>
      <c r="J714" s="38">
        <f t="shared" si="81"/>
        <v>2023</v>
      </c>
      <c r="K714" s="128">
        <f>(1+target)^($J714-(MIN(tbl_rep_mon[year])))</f>
        <v>1.3224999999999998</v>
      </c>
      <c r="L714" s="35">
        <f t="shared" si="82"/>
        <v>0.42</v>
      </c>
      <c r="M714" s="37">
        <f t="shared" si="83"/>
        <v>15252.266399999999</v>
      </c>
    </row>
    <row r="715" spans="1:13" x14ac:dyDescent="0.4">
      <c r="A715" t="s">
        <v>33</v>
      </c>
      <c r="B715">
        <v>3</v>
      </c>
      <c r="C715" s="36">
        <v>46559.44</v>
      </c>
      <c r="D715" s="1">
        <v>45261</v>
      </c>
      <c r="E715" s="35">
        <f t="shared" si="77"/>
        <v>0.33</v>
      </c>
      <c r="F715" s="37">
        <f t="shared" si="78"/>
        <v>23279.72</v>
      </c>
      <c r="G715" s="37">
        <f t="shared" si="79"/>
        <v>7682.307600000001</v>
      </c>
      <c r="H715" s="36" cm="1">
        <f t="array" ref="H715">SUMPRODUCT((C715&gt;tier_floor)*((C715-tier_floor)*step)*margin_rate)</f>
        <v>6682.3076000000001</v>
      </c>
      <c r="I715" s="37">
        <f t="shared" si="80"/>
        <v>1000.0000000000009</v>
      </c>
      <c r="J715" s="38">
        <f t="shared" si="81"/>
        <v>2023</v>
      </c>
      <c r="K715" s="128">
        <f>(1+target)^($J715-(MIN(tbl_rep_mon[year])))</f>
        <v>1.3224999999999998</v>
      </c>
      <c r="L715" s="35">
        <f t="shared" si="82"/>
        <v>0.33</v>
      </c>
      <c r="M715" s="37">
        <f t="shared" si="83"/>
        <v>7682.307600000001</v>
      </c>
    </row>
    <row r="716" spans="1:13" x14ac:dyDescent="0.4">
      <c r="A716" t="s">
        <v>34</v>
      </c>
      <c r="B716">
        <v>4</v>
      </c>
      <c r="C716" s="36">
        <v>81263.38</v>
      </c>
      <c r="D716" s="1">
        <v>45261</v>
      </c>
      <c r="E716" s="35">
        <f t="shared" si="77"/>
        <v>0.51</v>
      </c>
      <c r="F716" s="37">
        <f t="shared" si="78"/>
        <v>40631.69</v>
      </c>
      <c r="G716" s="37">
        <f t="shared" si="79"/>
        <v>20722.161900000003</v>
      </c>
      <c r="H716" s="36" cm="1">
        <f t="array" ref="H716">SUMPRODUCT((C716&gt;tier_floor)*((C716-tier_floor)*step)*margin_rate)</f>
        <v>14097.161900000001</v>
      </c>
      <c r="I716" s="37">
        <f t="shared" si="80"/>
        <v>6625.0000000000018</v>
      </c>
      <c r="J716" s="38">
        <f t="shared" si="81"/>
        <v>2023</v>
      </c>
      <c r="K716" s="128">
        <f>(1+target)^($J716-(MIN(tbl_rep_mon[year])))</f>
        <v>1.3224999999999998</v>
      </c>
      <c r="L716" s="35">
        <f t="shared" si="82"/>
        <v>0.42</v>
      </c>
      <c r="M716" s="37">
        <f t="shared" si="83"/>
        <v>17065.309799999999</v>
      </c>
    </row>
    <row r="717" spans="1:13" x14ac:dyDescent="0.4">
      <c r="A717" t="s">
        <v>35</v>
      </c>
      <c r="B717">
        <v>4</v>
      </c>
      <c r="C717" s="36">
        <v>64852.57</v>
      </c>
      <c r="D717" s="1">
        <v>45261</v>
      </c>
      <c r="E717" s="35">
        <f t="shared" si="77"/>
        <v>0.42</v>
      </c>
      <c r="F717" s="37">
        <f t="shared" si="78"/>
        <v>32426.285</v>
      </c>
      <c r="G717" s="37">
        <f t="shared" si="79"/>
        <v>13619.039699999999</v>
      </c>
      <c r="H717" s="36" cm="1">
        <f t="array" ref="H717">SUMPRODUCT((C717&gt;tier_floor)*((C717-tier_floor)*step)*margin_rate)</f>
        <v>10369.039699999999</v>
      </c>
      <c r="I717" s="37">
        <f t="shared" si="80"/>
        <v>3250</v>
      </c>
      <c r="J717" s="38">
        <f t="shared" si="81"/>
        <v>2023</v>
      </c>
      <c r="K717" s="128">
        <f>(1+target)^($J717-(MIN(tbl_rep_mon[year])))</f>
        <v>1.3224999999999998</v>
      </c>
      <c r="L717" s="35">
        <f t="shared" si="82"/>
        <v>0.33</v>
      </c>
      <c r="M717" s="37">
        <f t="shared" si="83"/>
        <v>10700.67405</v>
      </c>
    </row>
    <row r="718" spans="1:13" x14ac:dyDescent="0.4">
      <c r="A718" t="s">
        <v>37</v>
      </c>
      <c r="B718">
        <v>4</v>
      </c>
      <c r="C718" s="36">
        <v>70397.47</v>
      </c>
      <c r="D718" s="1">
        <v>45261</v>
      </c>
      <c r="E718" s="35">
        <f t="shared" si="77"/>
        <v>0.42</v>
      </c>
      <c r="F718" s="37">
        <f t="shared" si="78"/>
        <v>35198.735000000001</v>
      </c>
      <c r="G718" s="37">
        <f t="shared" si="79"/>
        <v>14783.468699999999</v>
      </c>
      <c r="H718" s="36" cm="1">
        <f t="array" ref="H718">SUMPRODUCT((C718&gt;tier_floor)*((C718-tier_floor)*step)*margin_rate)</f>
        <v>11533.468700000001</v>
      </c>
      <c r="I718" s="37">
        <f t="shared" si="80"/>
        <v>3249.9999999999982</v>
      </c>
      <c r="J718" s="38">
        <f t="shared" si="81"/>
        <v>2023</v>
      </c>
      <c r="K718" s="128">
        <f>(1+target)^($J718-(MIN(tbl_rep_mon[year])))</f>
        <v>1.3224999999999998</v>
      </c>
      <c r="L718" s="35">
        <f t="shared" si="82"/>
        <v>0.42</v>
      </c>
      <c r="M718" s="37">
        <f t="shared" si="83"/>
        <v>14783.468699999999</v>
      </c>
    </row>
    <row r="719" spans="1:13" x14ac:dyDescent="0.4">
      <c r="A719" t="s">
        <v>38</v>
      </c>
      <c r="B719">
        <v>2</v>
      </c>
      <c r="C719" s="36">
        <v>84607.14</v>
      </c>
      <c r="D719" s="1">
        <v>45261</v>
      </c>
      <c r="E719" s="35">
        <f t="shared" si="77"/>
        <v>0.51</v>
      </c>
      <c r="F719" s="37">
        <f t="shared" si="78"/>
        <v>42303.57</v>
      </c>
      <c r="G719" s="37">
        <f t="shared" si="79"/>
        <v>21574.8207</v>
      </c>
      <c r="H719" s="36" cm="1">
        <f t="array" ref="H719">SUMPRODUCT((C719&gt;tier_floor)*((C719-tier_floor)*step)*margin_rate)</f>
        <v>14949.8207</v>
      </c>
      <c r="I719" s="37">
        <f t="shared" si="80"/>
        <v>6625</v>
      </c>
      <c r="J719" s="38">
        <f t="shared" si="81"/>
        <v>2023</v>
      </c>
      <c r="K719" s="128">
        <f>(1+target)^($J719-(MIN(tbl_rep_mon[year])))</f>
        <v>1.3224999999999998</v>
      </c>
      <c r="L719" s="35">
        <f t="shared" si="82"/>
        <v>0.42</v>
      </c>
      <c r="M719" s="37">
        <f t="shared" si="83"/>
        <v>17767.499400000001</v>
      </c>
    </row>
    <row r="720" spans="1:13" x14ac:dyDescent="0.4">
      <c r="A720" t="s">
        <v>39</v>
      </c>
      <c r="B720">
        <v>2</v>
      </c>
      <c r="C720" s="36">
        <v>66156.45</v>
      </c>
      <c r="D720" s="1">
        <v>45261</v>
      </c>
      <c r="E720" s="35">
        <f t="shared" si="77"/>
        <v>0.42</v>
      </c>
      <c r="F720" s="37">
        <f t="shared" si="78"/>
        <v>33078.224999999999</v>
      </c>
      <c r="G720" s="37">
        <f t="shared" si="79"/>
        <v>13892.854499999999</v>
      </c>
      <c r="H720" s="36" cm="1">
        <f t="array" ref="H720">SUMPRODUCT((C720&gt;tier_floor)*((C720-tier_floor)*step)*margin_rate)</f>
        <v>10642.854499999999</v>
      </c>
      <c r="I720" s="37">
        <f t="shared" si="80"/>
        <v>3250</v>
      </c>
      <c r="J720" s="38">
        <f t="shared" si="81"/>
        <v>2023</v>
      </c>
      <c r="K720" s="128">
        <f>(1+target)^($J720-(MIN(tbl_rep_mon[year])))</f>
        <v>1.3224999999999998</v>
      </c>
      <c r="L720" s="35">
        <f t="shared" si="82"/>
        <v>0.42</v>
      </c>
      <c r="M720" s="37">
        <f t="shared" si="83"/>
        <v>13892.854499999999</v>
      </c>
    </row>
    <row r="721" spans="1:13" x14ac:dyDescent="0.4">
      <c r="A721" t="s">
        <v>40</v>
      </c>
      <c r="B721">
        <v>4</v>
      </c>
      <c r="C721" s="36">
        <v>53703.57</v>
      </c>
      <c r="D721" s="1">
        <v>45261</v>
      </c>
      <c r="E721" s="35">
        <f t="shared" si="77"/>
        <v>0.42</v>
      </c>
      <c r="F721" s="37">
        <f t="shared" si="78"/>
        <v>26851.785</v>
      </c>
      <c r="G721" s="37">
        <f t="shared" si="79"/>
        <v>11277.7497</v>
      </c>
      <c r="H721" s="36" cm="1">
        <f t="array" ref="H721">SUMPRODUCT((C721&gt;tier_floor)*((C721-tier_floor)*step)*margin_rate)</f>
        <v>8027.7497000000003</v>
      </c>
      <c r="I721" s="37">
        <f t="shared" si="80"/>
        <v>3250</v>
      </c>
      <c r="J721" s="38">
        <f t="shared" si="81"/>
        <v>2023</v>
      </c>
      <c r="K721" s="128">
        <f>(1+target)^($J721-(MIN(tbl_rep_mon[year])))</f>
        <v>1.3224999999999998</v>
      </c>
      <c r="L721" s="35">
        <f t="shared" si="82"/>
        <v>0.33</v>
      </c>
      <c r="M721" s="37">
        <f t="shared" si="83"/>
        <v>8861.0890500000005</v>
      </c>
    </row>
    <row r="722" spans="1:13" x14ac:dyDescent="0.4">
      <c r="A722" t="s">
        <v>6</v>
      </c>
      <c r="B722">
        <v>2</v>
      </c>
      <c r="C722" s="36">
        <v>63966.720000000001</v>
      </c>
      <c r="D722" s="1">
        <v>45292</v>
      </c>
      <c r="E722" s="35">
        <f t="shared" si="77"/>
        <v>0.42</v>
      </c>
      <c r="F722" s="37">
        <f t="shared" si="78"/>
        <v>31983.360000000001</v>
      </c>
      <c r="G722" s="37">
        <f t="shared" si="79"/>
        <v>13433.011199999999</v>
      </c>
      <c r="H722" s="36" cm="1">
        <f t="array" ref="H722">SUMPRODUCT((C722&gt;tier_floor)*((C722-tier_floor)*step)*margin_rate)</f>
        <v>10183.011199999999</v>
      </c>
      <c r="I722" s="37">
        <f t="shared" si="80"/>
        <v>3250</v>
      </c>
      <c r="J722" s="38">
        <f t="shared" si="81"/>
        <v>2024</v>
      </c>
      <c r="K722" s="128">
        <f>(1+target)^($J722-(MIN(tbl_rep_mon[year])))</f>
        <v>1.5208749999999995</v>
      </c>
      <c r="L722" s="35">
        <f t="shared" si="82"/>
        <v>0.33</v>
      </c>
      <c r="M722" s="37">
        <f t="shared" si="83"/>
        <v>10554.508800000001</v>
      </c>
    </row>
    <row r="723" spans="1:13" x14ac:dyDescent="0.4">
      <c r="A723" t="s">
        <v>7</v>
      </c>
      <c r="B723">
        <v>4</v>
      </c>
      <c r="C723" s="36">
        <v>51025.93</v>
      </c>
      <c r="D723" s="1">
        <v>45292</v>
      </c>
      <c r="E723" s="35">
        <f t="shared" si="77"/>
        <v>0.42</v>
      </c>
      <c r="F723" s="37">
        <f t="shared" si="78"/>
        <v>25512.965</v>
      </c>
      <c r="G723" s="37">
        <f t="shared" si="79"/>
        <v>10715.445299999999</v>
      </c>
      <c r="H723" s="36" cm="1">
        <f t="array" ref="H723">SUMPRODUCT((C723&gt;tier_floor)*((C723-tier_floor)*step)*margin_rate)</f>
        <v>7465.4452999999994</v>
      </c>
      <c r="I723" s="37">
        <f t="shared" si="80"/>
        <v>3250</v>
      </c>
      <c r="J723" s="38">
        <f t="shared" si="81"/>
        <v>2024</v>
      </c>
      <c r="K723" s="128">
        <f>(1+target)^($J723-(MIN(tbl_rep_mon[year])))</f>
        <v>1.5208749999999995</v>
      </c>
      <c r="L723" s="35">
        <f t="shared" si="82"/>
        <v>0.33</v>
      </c>
      <c r="M723" s="37">
        <f t="shared" si="83"/>
        <v>8419.2784499999998</v>
      </c>
    </row>
    <row r="724" spans="1:13" x14ac:dyDescent="0.4">
      <c r="A724" t="s">
        <v>8</v>
      </c>
      <c r="B724">
        <v>4</v>
      </c>
      <c r="C724" s="36">
        <v>74470.570000000007</v>
      </c>
      <c r="D724" s="1">
        <v>45292</v>
      </c>
      <c r="E724" s="35">
        <f t="shared" si="77"/>
        <v>0.42</v>
      </c>
      <c r="F724" s="37">
        <f t="shared" si="78"/>
        <v>37235.285000000003</v>
      </c>
      <c r="G724" s="37">
        <f t="shared" si="79"/>
        <v>15638.8197</v>
      </c>
      <c r="H724" s="36" cm="1">
        <f t="array" ref="H724">SUMPRODUCT((C724&gt;tier_floor)*((C724-tier_floor)*step)*margin_rate)</f>
        <v>12388.8197</v>
      </c>
      <c r="I724" s="37">
        <f t="shared" si="80"/>
        <v>3250</v>
      </c>
      <c r="J724" s="38">
        <f t="shared" si="81"/>
        <v>2024</v>
      </c>
      <c r="K724" s="128">
        <f>(1+target)^($J724-(MIN(tbl_rep_mon[year])))</f>
        <v>1.5208749999999995</v>
      </c>
      <c r="L724" s="35">
        <f t="shared" si="82"/>
        <v>0.33</v>
      </c>
      <c r="M724" s="37">
        <f t="shared" si="83"/>
        <v>12287.644050000003</v>
      </c>
    </row>
    <row r="725" spans="1:13" x14ac:dyDescent="0.4">
      <c r="A725" t="s">
        <v>15</v>
      </c>
      <c r="B725">
        <v>3</v>
      </c>
      <c r="C725" s="36">
        <v>83935.42</v>
      </c>
      <c r="D725" s="1">
        <v>45292</v>
      </c>
      <c r="E725" s="35">
        <f t="shared" si="77"/>
        <v>0.51</v>
      </c>
      <c r="F725" s="37">
        <f t="shared" si="78"/>
        <v>41967.71</v>
      </c>
      <c r="G725" s="37">
        <f t="shared" si="79"/>
        <v>21403.5321</v>
      </c>
      <c r="H725" s="36" cm="1">
        <f t="array" ref="H725">SUMPRODUCT((C725&gt;tier_floor)*((C725-tier_floor)*step)*margin_rate)</f>
        <v>14778.5321</v>
      </c>
      <c r="I725" s="37">
        <f t="shared" si="80"/>
        <v>6625</v>
      </c>
      <c r="J725" s="38">
        <f t="shared" si="81"/>
        <v>2024</v>
      </c>
      <c r="K725" s="128">
        <f>(1+target)^($J725-(MIN(tbl_rep_mon[year])))</f>
        <v>1.5208749999999995</v>
      </c>
      <c r="L725" s="35">
        <f t="shared" si="82"/>
        <v>0.42</v>
      </c>
      <c r="M725" s="37">
        <f t="shared" si="83"/>
        <v>17626.438200000001</v>
      </c>
    </row>
    <row r="726" spans="1:13" x14ac:dyDescent="0.4">
      <c r="A726" t="s">
        <v>16</v>
      </c>
      <c r="B726">
        <v>3</v>
      </c>
      <c r="C726" s="36">
        <v>87672.36</v>
      </c>
      <c r="D726" s="1">
        <v>45292</v>
      </c>
      <c r="E726" s="35">
        <f t="shared" si="77"/>
        <v>0.51</v>
      </c>
      <c r="F726" s="37">
        <f t="shared" si="78"/>
        <v>43836.18</v>
      </c>
      <c r="G726" s="37">
        <f t="shared" si="79"/>
        <v>22356.451799999999</v>
      </c>
      <c r="H726" s="36" cm="1">
        <f t="array" ref="H726">SUMPRODUCT((C726&gt;tier_floor)*((C726-tier_floor)*step)*margin_rate)</f>
        <v>15731.451800000001</v>
      </c>
      <c r="I726" s="37">
        <f t="shared" si="80"/>
        <v>6624.9999999999982</v>
      </c>
      <c r="J726" s="38">
        <f t="shared" si="81"/>
        <v>2024</v>
      </c>
      <c r="K726" s="128">
        <f>(1+target)^($J726-(MIN(tbl_rep_mon[year])))</f>
        <v>1.5208749999999995</v>
      </c>
      <c r="L726" s="35">
        <f t="shared" si="82"/>
        <v>0.42</v>
      </c>
      <c r="M726" s="37">
        <f t="shared" si="83"/>
        <v>18411.195599999999</v>
      </c>
    </row>
    <row r="727" spans="1:13" x14ac:dyDescent="0.4">
      <c r="A727" t="s">
        <v>18</v>
      </c>
      <c r="B727">
        <v>3</v>
      </c>
      <c r="C727" s="36">
        <v>72684.28</v>
      </c>
      <c r="D727" s="1">
        <v>45292</v>
      </c>
      <c r="E727" s="35">
        <f t="shared" si="77"/>
        <v>0.42</v>
      </c>
      <c r="F727" s="37">
        <f t="shared" si="78"/>
        <v>36342.14</v>
      </c>
      <c r="G727" s="37">
        <f t="shared" si="79"/>
        <v>15263.698799999998</v>
      </c>
      <c r="H727" s="36" cm="1">
        <f t="array" ref="H727">SUMPRODUCT((C727&gt;tier_floor)*((C727-tier_floor)*step)*margin_rate)</f>
        <v>12013.698799999998</v>
      </c>
      <c r="I727" s="37">
        <f t="shared" si="80"/>
        <v>3250</v>
      </c>
      <c r="J727" s="38">
        <f t="shared" si="81"/>
        <v>2024</v>
      </c>
      <c r="K727" s="128">
        <f>(1+target)^($J727-(MIN(tbl_rep_mon[year])))</f>
        <v>1.5208749999999995</v>
      </c>
      <c r="L727" s="35">
        <f t="shared" si="82"/>
        <v>0.33</v>
      </c>
      <c r="M727" s="37">
        <f t="shared" si="83"/>
        <v>11992.906200000001</v>
      </c>
    </row>
    <row r="728" spans="1:13" x14ac:dyDescent="0.4">
      <c r="A728" t="s">
        <v>19</v>
      </c>
      <c r="B728">
        <v>4</v>
      </c>
      <c r="C728" s="36">
        <v>52168.480000000003</v>
      </c>
      <c r="D728" s="1">
        <v>45292</v>
      </c>
      <c r="E728" s="35">
        <f t="shared" si="77"/>
        <v>0.42</v>
      </c>
      <c r="F728" s="37">
        <f t="shared" si="78"/>
        <v>26084.240000000002</v>
      </c>
      <c r="G728" s="37">
        <f t="shared" si="79"/>
        <v>10955.380800000001</v>
      </c>
      <c r="H728" s="36" cm="1">
        <f t="array" ref="H728">SUMPRODUCT((C728&gt;tier_floor)*((C728-tier_floor)*step)*margin_rate)</f>
        <v>7705.3808000000017</v>
      </c>
      <c r="I728" s="37">
        <f t="shared" si="80"/>
        <v>3249.9999999999991</v>
      </c>
      <c r="J728" s="38">
        <f t="shared" si="81"/>
        <v>2024</v>
      </c>
      <c r="K728" s="128">
        <f>(1+target)^($J728-(MIN(tbl_rep_mon[year])))</f>
        <v>1.5208749999999995</v>
      </c>
      <c r="L728" s="35">
        <f t="shared" si="82"/>
        <v>0.33</v>
      </c>
      <c r="M728" s="37">
        <f t="shared" si="83"/>
        <v>8607.7992000000013</v>
      </c>
    </row>
    <row r="729" spans="1:13" x14ac:dyDescent="0.4">
      <c r="A729" t="s">
        <v>23</v>
      </c>
      <c r="B729">
        <v>1</v>
      </c>
      <c r="C729" s="36">
        <v>130723.11</v>
      </c>
      <c r="D729" s="1">
        <v>45292</v>
      </c>
      <c r="E729" s="35">
        <f t="shared" si="77"/>
        <v>0.6</v>
      </c>
      <c r="F729" s="37">
        <f t="shared" si="78"/>
        <v>65361.555</v>
      </c>
      <c r="G729" s="37">
        <f t="shared" si="79"/>
        <v>39216.932999999997</v>
      </c>
      <c r="H729" s="36" cm="1">
        <f t="array" ref="H729">SUMPRODUCT((C729&gt;tier_floor)*((C729-tier_floor)*step)*margin_rate)</f>
        <v>28091.933000000001</v>
      </c>
      <c r="I729" s="37">
        <f t="shared" si="80"/>
        <v>11124.999999999996</v>
      </c>
      <c r="J729" s="38">
        <f t="shared" si="81"/>
        <v>2024</v>
      </c>
      <c r="K729" s="128">
        <f>(1+target)^($J729-(MIN(tbl_rep_mon[year])))</f>
        <v>1.5208749999999995</v>
      </c>
      <c r="L729" s="35">
        <f t="shared" si="82"/>
        <v>0.51</v>
      </c>
      <c r="M729" s="37">
        <f t="shared" si="83"/>
        <v>33334.393049999999</v>
      </c>
    </row>
    <row r="730" spans="1:13" x14ac:dyDescent="0.4">
      <c r="A730" t="s">
        <v>24</v>
      </c>
      <c r="B730">
        <v>3</v>
      </c>
      <c r="C730" s="36">
        <v>55604.77</v>
      </c>
      <c r="D730" s="1">
        <v>45292</v>
      </c>
      <c r="E730" s="35">
        <f t="shared" si="77"/>
        <v>0.42</v>
      </c>
      <c r="F730" s="37">
        <f t="shared" si="78"/>
        <v>27802.384999999998</v>
      </c>
      <c r="G730" s="37">
        <f t="shared" si="79"/>
        <v>11677.001699999999</v>
      </c>
      <c r="H730" s="36" cm="1">
        <f t="array" ref="H730">SUMPRODUCT((C730&gt;tier_floor)*((C730-tier_floor)*step)*margin_rate)</f>
        <v>8427.0016999999989</v>
      </c>
      <c r="I730" s="37">
        <f t="shared" si="80"/>
        <v>3250</v>
      </c>
      <c r="J730" s="38">
        <f t="shared" si="81"/>
        <v>2024</v>
      </c>
      <c r="K730" s="128">
        <f>(1+target)^($J730-(MIN(tbl_rep_mon[year])))</f>
        <v>1.5208749999999995</v>
      </c>
      <c r="L730" s="35">
        <f t="shared" si="82"/>
        <v>0.33</v>
      </c>
      <c r="M730" s="37">
        <f t="shared" si="83"/>
        <v>9174.787049999999</v>
      </c>
    </row>
    <row r="731" spans="1:13" x14ac:dyDescent="0.4">
      <c r="A731" t="s">
        <v>25</v>
      </c>
      <c r="B731">
        <v>2</v>
      </c>
      <c r="C731" s="36">
        <v>72216.61</v>
      </c>
      <c r="D731" s="1">
        <v>45292</v>
      </c>
      <c r="E731" s="35">
        <f t="shared" si="77"/>
        <v>0.42</v>
      </c>
      <c r="F731" s="37">
        <f t="shared" si="78"/>
        <v>36108.305</v>
      </c>
      <c r="G731" s="37">
        <f t="shared" si="79"/>
        <v>15165.488099999999</v>
      </c>
      <c r="H731" s="36" cm="1">
        <f t="array" ref="H731">SUMPRODUCT((C731&gt;tier_floor)*((C731-tier_floor)*step)*margin_rate)</f>
        <v>11915.488099999999</v>
      </c>
      <c r="I731" s="37">
        <f t="shared" si="80"/>
        <v>3250</v>
      </c>
      <c r="J731" s="38">
        <f t="shared" si="81"/>
        <v>2024</v>
      </c>
      <c r="K731" s="128">
        <f>(1+target)^($J731-(MIN(tbl_rep_mon[year])))</f>
        <v>1.5208749999999995</v>
      </c>
      <c r="L731" s="35">
        <f t="shared" si="82"/>
        <v>0.33</v>
      </c>
      <c r="M731" s="37">
        <f t="shared" si="83"/>
        <v>11915.740650000002</v>
      </c>
    </row>
    <row r="732" spans="1:13" x14ac:dyDescent="0.4">
      <c r="A732" t="s">
        <v>26</v>
      </c>
      <c r="B732">
        <v>2</v>
      </c>
      <c r="C732" s="36">
        <v>81087.360000000001</v>
      </c>
      <c r="D732" s="1">
        <v>45292</v>
      </c>
      <c r="E732" s="35">
        <f t="shared" si="77"/>
        <v>0.51</v>
      </c>
      <c r="F732" s="37">
        <f t="shared" si="78"/>
        <v>40543.68</v>
      </c>
      <c r="G732" s="37">
        <f t="shared" si="79"/>
        <v>20677.2768</v>
      </c>
      <c r="H732" s="36" cm="1">
        <f t="array" ref="H732">SUMPRODUCT((C732&gt;tier_floor)*((C732-tier_floor)*step)*margin_rate)</f>
        <v>14052.276800000001</v>
      </c>
      <c r="I732" s="37">
        <f t="shared" si="80"/>
        <v>6624.9999999999982</v>
      </c>
      <c r="J732" s="38">
        <f t="shared" si="81"/>
        <v>2024</v>
      </c>
      <c r="K732" s="128">
        <f>(1+target)^($J732-(MIN(tbl_rep_mon[year])))</f>
        <v>1.5208749999999995</v>
      </c>
      <c r="L732" s="35">
        <f t="shared" si="82"/>
        <v>0.42</v>
      </c>
      <c r="M732" s="37">
        <f t="shared" si="83"/>
        <v>17028.345600000001</v>
      </c>
    </row>
    <row r="733" spans="1:13" x14ac:dyDescent="0.4">
      <c r="A733" t="s">
        <v>29</v>
      </c>
      <c r="B733">
        <v>1</v>
      </c>
      <c r="C733" s="36">
        <v>112819.54</v>
      </c>
      <c r="D733" s="1">
        <v>45292</v>
      </c>
      <c r="E733" s="35">
        <f t="shared" si="77"/>
        <v>0.6</v>
      </c>
      <c r="F733" s="37">
        <f t="shared" si="78"/>
        <v>56409.77</v>
      </c>
      <c r="G733" s="37">
        <f t="shared" si="79"/>
        <v>33845.861999999994</v>
      </c>
      <c r="H733" s="36" cm="1">
        <f t="array" ref="H733">SUMPRODUCT((C733&gt;tier_floor)*((C733-tier_floor)*step)*margin_rate)</f>
        <v>22720.862000000001</v>
      </c>
      <c r="I733" s="37">
        <f t="shared" si="80"/>
        <v>11124.999999999993</v>
      </c>
      <c r="J733" s="38">
        <f t="shared" si="81"/>
        <v>2024</v>
      </c>
      <c r="K733" s="128">
        <f>(1+target)^($J733-(MIN(tbl_rep_mon[year])))</f>
        <v>1.5208749999999995</v>
      </c>
      <c r="L733" s="35">
        <f t="shared" si="82"/>
        <v>0.42</v>
      </c>
      <c r="M733" s="37">
        <f t="shared" si="83"/>
        <v>23692.103399999996</v>
      </c>
    </row>
    <row r="734" spans="1:13" x14ac:dyDescent="0.4">
      <c r="A734" t="s">
        <v>32</v>
      </c>
      <c r="B734">
        <v>4</v>
      </c>
      <c r="C734" s="36">
        <v>77283.94</v>
      </c>
      <c r="D734" s="1">
        <v>45292</v>
      </c>
      <c r="E734" s="35">
        <f t="shared" si="77"/>
        <v>0.51</v>
      </c>
      <c r="F734" s="37">
        <f t="shared" si="78"/>
        <v>38641.97</v>
      </c>
      <c r="G734" s="37">
        <f t="shared" si="79"/>
        <v>19707.404699999999</v>
      </c>
      <c r="H734" s="36" cm="1">
        <f t="array" ref="H734">SUMPRODUCT((C734&gt;tier_floor)*((C734-tier_floor)*step)*margin_rate)</f>
        <v>13082.404699999999</v>
      </c>
      <c r="I734" s="37">
        <f t="shared" si="80"/>
        <v>6625</v>
      </c>
      <c r="J734" s="38">
        <f t="shared" si="81"/>
        <v>2024</v>
      </c>
      <c r="K734" s="128">
        <f>(1+target)^($J734-(MIN(tbl_rep_mon[year])))</f>
        <v>1.5208749999999995</v>
      </c>
      <c r="L734" s="35">
        <f t="shared" si="82"/>
        <v>0.42</v>
      </c>
      <c r="M734" s="37">
        <f t="shared" si="83"/>
        <v>16229.627399999999</v>
      </c>
    </row>
    <row r="735" spans="1:13" x14ac:dyDescent="0.4">
      <c r="A735" t="s">
        <v>33</v>
      </c>
      <c r="B735">
        <v>3</v>
      </c>
      <c r="C735" s="36">
        <v>61384.67</v>
      </c>
      <c r="D735" s="1">
        <v>45292</v>
      </c>
      <c r="E735" s="35">
        <f t="shared" si="77"/>
        <v>0.42</v>
      </c>
      <c r="F735" s="37">
        <f t="shared" si="78"/>
        <v>30692.334999999999</v>
      </c>
      <c r="G735" s="37">
        <f t="shared" si="79"/>
        <v>12890.780699999999</v>
      </c>
      <c r="H735" s="36" cm="1">
        <f t="array" ref="H735">SUMPRODUCT((C735&gt;tier_floor)*((C735-tier_floor)*step)*margin_rate)</f>
        <v>9640.7806999999993</v>
      </c>
      <c r="I735" s="37">
        <f t="shared" si="80"/>
        <v>3250</v>
      </c>
      <c r="J735" s="38">
        <f t="shared" si="81"/>
        <v>2024</v>
      </c>
      <c r="K735" s="128">
        <f>(1+target)^($J735-(MIN(tbl_rep_mon[year])))</f>
        <v>1.5208749999999995</v>
      </c>
      <c r="L735" s="35">
        <f t="shared" si="82"/>
        <v>0.33</v>
      </c>
      <c r="M735" s="37">
        <f t="shared" si="83"/>
        <v>10128.47055</v>
      </c>
    </row>
    <row r="736" spans="1:13" x14ac:dyDescent="0.4">
      <c r="A736" t="s">
        <v>34</v>
      </c>
      <c r="B736">
        <v>4</v>
      </c>
      <c r="C736" s="36">
        <v>60540.54</v>
      </c>
      <c r="D736" s="1">
        <v>45292</v>
      </c>
      <c r="E736" s="35">
        <f t="shared" si="77"/>
        <v>0.42</v>
      </c>
      <c r="F736" s="37">
        <f t="shared" si="78"/>
        <v>30270.27</v>
      </c>
      <c r="G736" s="37">
        <f t="shared" si="79"/>
        <v>12713.5134</v>
      </c>
      <c r="H736" s="36" cm="1">
        <f t="array" ref="H736">SUMPRODUCT((C736&gt;tier_floor)*((C736-tier_floor)*step)*margin_rate)</f>
        <v>9463.5133999999998</v>
      </c>
      <c r="I736" s="37">
        <f t="shared" si="80"/>
        <v>3250</v>
      </c>
      <c r="J736" s="38">
        <f t="shared" si="81"/>
        <v>2024</v>
      </c>
      <c r="K736" s="128">
        <f>(1+target)^($J736-(MIN(tbl_rep_mon[year])))</f>
        <v>1.5208749999999995</v>
      </c>
      <c r="L736" s="35">
        <f t="shared" si="82"/>
        <v>0.33</v>
      </c>
      <c r="M736" s="37">
        <f t="shared" si="83"/>
        <v>9989.1891000000014</v>
      </c>
    </row>
    <row r="737" spans="1:13" x14ac:dyDescent="0.4">
      <c r="A737" t="s">
        <v>35</v>
      </c>
      <c r="B737">
        <v>4</v>
      </c>
      <c r="C737" s="36">
        <v>57395.34</v>
      </c>
      <c r="D737" s="1">
        <v>45292</v>
      </c>
      <c r="E737" s="35">
        <f t="shared" si="77"/>
        <v>0.42</v>
      </c>
      <c r="F737" s="37">
        <f t="shared" si="78"/>
        <v>28697.67</v>
      </c>
      <c r="G737" s="37">
        <f t="shared" si="79"/>
        <v>12053.0214</v>
      </c>
      <c r="H737" s="36" cm="1">
        <f t="array" ref="H737">SUMPRODUCT((C737&gt;tier_floor)*((C737-tier_floor)*step)*margin_rate)</f>
        <v>8803.0213999999996</v>
      </c>
      <c r="I737" s="37">
        <f t="shared" si="80"/>
        <v>3250</v>
      </c>
      <c r="J737" s="38">
        <f t="shared" si="81"/>
        <v>2024</v>
      </c>
      <c r="K737" s="128">
        <f>(1+target)^($J737-(MIN(tbl_rep_mon[year])))</f>
        <v>1.5208749999999995</v>
      </c>
      <c r="L737" s="35">
        <f t="shared" si="82"/>
        <v>0.33</v>
      </c>
      <c r="M737" s="37">
        <f t="shared" si="83"/>
        <v>9470.2310999999991</v>
      </c>
    </row>
    <row r="738" spans="1:13" x14ac:dyDescent="0.4">
      <c r="A738" t="s">
        <v>37</v>
      </c>
      <c r="B738">
        <v>4</v>
      </c>
      <c r="C738" s="36">
        <v>80780.61</v>
      </c>
      <c r="D738" s="1">
        <v>45292</v>
      </c>
      <c r="E738" s="35">
        <f t="shared" si="77"/>
        <v>0.51</v>
      </c>
      <c r="F738" s="37">
        <f t="shared" si="78"/>
        <v>40390.305</v>
      </c>
      <c r="G738" s="37">
        <f t="shared" si="79"/>
        <v>20599.055550000001</v>
      </c>
      <c r="H738" s="36" cm="1">
        <f t="array" ref="H738">SUMPRODUCT((C738&gt;tier_floor)*((C738-tier_floor)*step)*margin_rate)</f>
        <v>13974.055550000001</v>
      </c>
      <c r="I738" s="37">
        <f t="shared" si="80"/>
        <v>6625</v>
      </c>
      <c r="J738" s="38">
        <f t="shared" si="81"/>
        <v>2024</v>
      </c>
      <c r="K738" s="128">
        <f>(1+target)^($J738-(MIN(tbl_rep_mon[year])))</f>
        <v>1.5208749999999995</v>
      </c>
      <c r="L738" s="35">
        <f t="shared" si="82"/>
        <v>0.42</v>
      </c>
      <c r="M738" s="37">
        <f t="shared" si="83"/>
        <v>16963.928100000001</v>
      </c>
    </row>
    <row r="739" spans="1:13" x14ac:dyDescent="0.4">
      <c r="A739" t="s">
        <v>38</v>
      </c>
      <c r="B739">
        <v>2</v>
      </c>
      <c r="C739" s="36">
        <v>81166.070000000007</v>
      </c>
      <c r="D739" s="1">
        <v>45292</v>
      </c>
      <c r="E739" s="35">
        <f t="shared" si="77"/>
        <v>0.51</v>
      </c>
      <c r="F739" s="37">
        <f t="shared" si="78"/>
        <v>40583.035000000003</v>
      </c>
      <c r="G739" s="37">
        <f t="shared" si="79"/>
        <v>20697.347850000002</v>
      </c>
      <c r="H739" s="36" cm="1">
        <f t="array" ref="H739">SUMPRODUCT((C739&gt;tier_floor)*((C739-tier_floor)*step)*margin_rate)</f>
        <v>14072.347850000002</v>
      </c>
      <c r="I739" s="37">
        <f t="shared" si="80"/>
        <v>6625</v>
      </c>
      <c r="J739" s="38">
        <f t="shared" si="81"/>
        <v>2024</v>
      </c>
      <c r="K739" s="128">
        <f>(1+target)^($J739-(MIN(tbl_rep_mon[year])))</f>
        <v>1.5208749999999995</v>
      </c>
      <c r="L739" s="35">
        <f t="shared" si="82"/>
        <v>0.42</v>
      </c>
      <c r="M739" s="37">
        <f t="shared" si="83"/>
        <v>17044.8747</v>
      </c>
    </row>
    <row r="740" spans="1:13" x14ac:dyDescent="0.4">
      <c r="A740" t="s">
        <v>39</v>
      </c>
      <c r="B740">
        <v>2</v>
      </c>
      <c r="C740" s="36">
        <v>81546.44</v>
      </c>
      <c r="D740" s="1">
        <v>45292</v>
      </c>
      <c r="E740" s="35">
        <f t="shared" si="77"/>
        <v>0.51</v>
      </c>
      <c r="F740" s="37">
        <f t="shared" si="78"/>
        <v>40773.22</v>
      </c>
      <c r="G740" s="37">
        <f t="shared" si="79"/>
        <v>20794.342199999999</v>
      </c>
      <c r="H740" s="36" cm="1">
        <f t="array" ref="H740">SUMPRODUCT((C740&gt;tier_floor)*((C740-tier_floor)*step)*margin_rate)</f>
        <v>14169.342200000001</v>
      </c>
      <c r="I740" s="37">
        <f t="shared" si="80"/>
        <v>6624.9999999999982</v>
      </c>
      <c r="J740" s="38">
        <f t="shared" si="81"/>
        <v>2024</v>
      </c>
      <c r="K740" s="128">
        <f>(1+target)^($J740-(MIN(tbl_rep_mon[year])))</f>
        <v>1.5208749999999995</v>
      </c>
      <c r="L740" s="35">
        <f t="shared" si="82"/>
        <v>0.42</v>
      </c>
      <c r="M740" s="37">
        <f t="shared" si="83"/>
        <v>17124.752400000001</v>
      </c>
    </row>
    <row r="741" spans="1:13" x14ac:dyDescent="0.4">
      <c r="A741" t="s">
        <v>40</v>
      </c>
      <c r="B741">
        <v>4</v>
      </c>
      <c r="C741" s="36">
        <v>58771.05</v>
      </c>
      <c r="D741" s="1">
        <v>45292</v>
      </c>
      <c r="E741" s="35">
        <f t="shared" si="77"/>
        <v>0.42</v>
      </c>
      <c r="F741" s="37">
        <f t="shared" si="78"/>
        <v>29385.525000000001</v>
      </c>
      <c r="G741" s="37">
        <f t="shared" si="79"/>
        <v>12341.9205</v>
      </c>
      <c r="H741" s="36" cm="1">
        <f t="array" ref="H741">SUMPRODUCT((C741&gt;tier_floor)*((C741-tier_floor)*step)*margin_rate)</f>
        <v>9091.9205000000002</v>
      </c>
      <c r="I741" s="37">
        <f t="shared" si="80"/>
        <v>3250</v>
      </c>
      <c r="J741" s="38">
        <f t="shared" si="81"/>
        <v>2024</v>
      </c>
      <c r="K741" s="128">
        <f>(1+target)^($J741-(MIN(tbl_rep_mon[year])))</f>
        <v>1.5208749999999995</v>
      </c>
      <c r="L741" s="35">
        <f t="shared" si="82"/>
        <v>0.33</v>
      </c>
      <c r="M741" s="37">
        <f t="shared" si="83"/>
        <v>9697.2232500000009</v>
      </c>
    </row>
    <row r="742" spans="1:13" x14ac:dyDescent="0.4">
      <c r="A742" t="s">
        <v>6</v>
      </c>
      <c r="B742">
        <v>2</v>
      </c>
      <c r="C742" s="36">
        <v>76086.47</v>
      </c>
      <c r="D742" s="1">
        <v>45323</v>
      </c>
      <c r="E742" s="35">
        <f t="shared" si="77"/>
        <v>0.51</v>
      </c>
      <c r="F742" s="37">
        <f t="shared" si="78"/>
        <v>38043.235000000001</v>
      </c>
      <c r="G742" s="37">
        <f t="shared" si="79"/>
        <v>19402.049849999999</v>
      </c>
      <c r="H742" s="36" cm="1">
        <f t="array" ref="H742">SUMPRODUCT((C742&gt;tier_floor)*((C742-tier_floor)*step)*margin_rate)</f>
        <v>12777.049849999999</v>
      </c>
      <c r="I742" s="37">
        <f t="shared" si="80"/>
        <v>6625</v>
      </c>
      <c r="J742" s="38">
        <f t="shared" si="81"/>
        <v>2024</v>
      </c>
      <c r="K742" s="128">
        <f>(1+target)^($J742-(MIN(tbl_rep_mon[year])))</f>
        <v>1.5208749999999995</v>
      </c>
      <c r="L742" s="35">
        <f t="shared" si="82"/>
        <v>0.42</v>
      </c>
      <c r="M742" s="37">
        <f t="shared" si="83"/>
        <v>15978.1587</v>
      </c>
    </row>
    <row r="743" spans="1:13" x14ac:dyDescent="0.4">
      <c r="A743" t="s">
        <v>7</v>
      </c>
      <c r="B743">
        <v>4</v>
      </c>
      <c r="C743" s="36">
        <v>55584.69</v>
      </c>
      <c r="D743" s="1">
        <v>45323</v>
      </c>
      <c r="E743" s="35">
        <f t="shared" si="77"/>
        <v>0.42</v>
      </c>
      <c r="F743" s="37">
        <f t="shared" si="78"/>
        <v>27792.345000000001</v>
      </c>
      <c r="G743" s="37">
        <f t="shared" si="79"/>
        <v>11672.784900000001</v>
      </c>
      <c r="H743" s="36" cm="1">
        <f t="array" ref="H743">SUMPRODUCT((C743&gt;tier_floor)*((C743-tier_floor)*step)*margin_rate)</f>
        <v>8422.7849000000006</v>
      </c>
      <c r="I743" s="37">
        <f t="shared" si="80"/>
        <v>3250</v>
      </c>
      <c r="J743" s="38">
        <f t="shared" si="81"/>
        <v>2024</v>
      </c>
      <c r="K743" s="128">
        <f>(1+target)^($J743-(MIN(tbl_rep_mon[year])))</f>
        <v>1.5208749999999995</v>
      </c>
      <c r="L743" s="35">
        <f t="shared" si="82"/>
        <v>0.33</v>
      </c>
      <c r="M743" s="37">
        <f t="shared" si="83"/>
        <v>9171.4738500000003</v>
      </c>
    </row>
    <row r="744" spans="1:13" x14ac:dyDescent="0.4">
      <c r="A744" t="s">
        <v>8</v>
      </c>
      <c r="B744">
        <v>4</v>
      </c>
      <c r="C744" s="36">
        <v>72860.350000000006</v>
      </c>
      <c r="D744" s="1">
        <v>45323</v>
      </c>
      <c r="E744" s="35">
        <f t="shared" si="77"/>
        <v>0.42</v>
      </c>
      <c r="F744" s="37">
        <f t="shared" si="78"/>
        <v>36430.175000000003</v>
      </c>
      <c r="G744" s="37">
        <f t="shared" si="79"/>
        <v>15300.673500000001</v>
      </c>
      <c r="H744" s="36" cm="1">
        <f t="array" ref="H744">SUMPRODUCT((C744&gt;tier_floor)*((C744-tier_floor)*step)*margin_rate)</f>
        <v>12050.673500000001</v>
      </c>
      <c r="I744" s="37">
        <f t="shared" si="80"/>
        <v>3250</v>
      </c>
      <c r="J744" s="38">
        <f t="shared" si="81"/>
        <v>2024</v>
      </c>
      <c r="K744" s="128">
        <f>(1+target)^($J744-(MIN(tbl_rep_mon[year])))</f>
        <v>1.5208749999999995</v>
      </c>
      <c r="L744" s="35">
        <f t="shared" si="82"/>
        <v>0.33</v>
      </c>
      <c r="M744" s="37">
        <f t="shared" si="83"/>
        <v>12021.957750000001</v>
      </c>
    </row>
    <row r="745" spans="1:13" x14ac:dyDescent="0.4">
      <c r="A745" t="s">
        <v>15</v>
      </c>
      <c r="B745">
        <v>3</v>
      </c>
      <c r="C745" s="36">
        <v>82757.679999999993</v>
      </c>
      <c r="D745" s="1">
        <v>45323</v>
      </c>
      <c r="E745" s="35">
        <f t="shared" si="77"/>
        <v>0.51</v>
      </c>
      <c r="F745" s="37">
        <f t="shared" si="78"/>
        <v>41378.839999999997</v>
      </c>
      <c r="G745" s="37">
        <f t="shared" si="79"/>
        <v>21103.2084</v>
      </c>
      <c r="H745" s="36" cm="1">
        <f t="array" ref="H745">SUMPRODUCT((C745&gt;tier_floor)*((C745-tier_floor)*step)*margin_rate)</f>
        <v>14478.208399999998</v>
      </c>
      <c r="I745" s="37">
        <f t="shared" si="80"/>
        <v>6625.0000000000018</v>
      </c>
      <c r="J745" s="38">
        <f t="shared" si="81"/>
        <v>2024</v>
      </c>
      <c r="K745" s="128">
        <f>(1+target)^($J745-(MIN(tbl_rep_mon[year])))</f>
        <v>1.5208749999999995</v>
      </c>
      <c r="L745" s="35">
        <f t="shared" si="82"/>
        <v>0.42</v>
      </c>
      <c r="M745" s="37">
        <f t="shared" si="83"/>
        <v>17379.112799999999</v>
      </c>
    </row>
    <row r="746" spans="1:13" x14ac:dyDescent="0.4">
      <c r="A746" t="s">
        <v>16</v>
      </c>
      <c r="B746">
        <v>3</v>
      </c>
      <c r="C746" s="36">
        <v>88419.31</v>
      </c>
      <c r="D746" s="1">
        <v>45323</v>
      </c>
      <c r="E746" s="35">
        <f t="shared" si="77"/>
        <v>0.51</v>
      </c>
      <c r="F746" s="37">
        <f t="shared" si="78"/>
        <v>44209.654999999999</v>
      </c>
      <c r="G746" s="37">
        <f t="shared" si="79"/>
        <v>22546.924050000001</v>
      </c>
      <c r="H746" s="36" cm="1">
        <f t="array" ref="H746">SUMPRODUCT((C746&gt;tier_floor)*((C746-tier_floor)*step)*margin_rate)</f>
        <v>15921.92405</v>
      </c>
      <c r="I746" s="37">
        <f t="shared" si="80"/>
        <v>6625.0000000000018</v>
      </c>
      <c r="J746" s="38">
        <f t="shared" si="81"/>
        <v>2024</v>
      </c>
      <c r="K746" s="128">
        <f>(1+target)^($J746-(MIN(tbl_rep_mon[year])))</f>
        <v>1.5208749999999995</v>
      </c>
      <c r="L746" s="35">
        <f t="shared" si="82"/>
        <v>0.42</v>
      </c>
      <c r="M746" s="37">
        <f t="shared" si="83"/>
        <v>18568.055099999998</v>
      </c>
    </row>
    <row r="747" spans="1:13" x14ac:dyDescent="0.4">
      <c r="A747" t="s">
        <v>18</v>
      </c>
      <c r="B747">
        <v>3</v>
      </c>
      <c r="C747" s="36">
        <v>92159.2</v>
      </c>
      <c r="D747" s="1">
        <v>45323</v>
      </c>
      <c r="E747" s="35">
        <f t="shared" si="77"/>
        <v>0.51</v>
      </c>
      <c r="F747" s="37">
        <f t="shared" si="78"/>
        <v>46079.6</v>
      </c>
      <c r="G747" s="37">
        <f t="shared" si="79"/>
        <v>23500.596000000001</v>
      </c>
      <c r="H747" s="36" cm="1">
        <f t="array" ref="H747">SUMPRODUCT((C747&gt;tier_floor)*((C747-tier_floor)*step)*margin_rate)</f>
        <v>16875.595999999998</v>
      </c>
      <c r="I747" s="37">
        <f t="shared" si="80"/>
        <v>6625.0000000000036</v>
      </c>
      <c r="J747" s="38">
        <f t="shared" si="81"/>
        <v>2024</v>
      </c>
      <c r="K747" s="128">
        <f>(1+target)^($J747-(MIN(tbl_rep_mon[year])))</f>
        <v>1.5208749999999995</v>
      </c>
      <c r="L747" s="35">
        <f t="shared" si="82"/>
        <v>0.42</v>
      </c>
      <c r="M747" s="37">
        <f t="shared" si="83"/>
        <v>19353.431999999997</v>
      </c>
    </row>
    <row r="748" spans="1:13" x14ac:dyDescent="0.4">
      <c r="A748" t="s">
        <v>19</v>
      </c>
      <c r="B748">
        <v>4</v>
      </c>
      <c r="C748" s="36">
        <v>82859.66</v>
      </c>
      <c r="D748" s="1">
        <v>45323</v>
      </c>
      <c r="E748" s="35">
        <f t="shared" si="77"/>
        <v>0.51</v>
      </c>
      <c r="F748" s="37">
        <f t="shared" si="78"/>
        <v>41429.83</v>
      </c>
      <c r="G748" s="37">
        <f t="shared" si="79"/>
        <v>21129.213300000003</v>
      </c>
      <c r="H748" s="36" cm="1">
        <f t="array" ref="H748">SUMPRODUCT((C748&gt;tier_floor)*((C748-tier_floor)*step)*margin_rate)</f>
        <v>14504.213300000001</v>
      </c>
      <c r="I748" s="37">
        <f t="shared" si="80"/>
        <v>6625.0000000000018</v>
      </c>
      <c r="J748" s="38">
        <f t="shared" si="81"/>
        <v>2024</v>
      </c>
      <c r="K748" s="128">
        <f>(1+target)^($J748-(MIN(tbl_rep_mon[year])))</f>
        <v>1.5208749999999995</v>
      </c>
      <c r="L748" s="35">
        <f t="shared" si="82"/>
        <v>0.42</v>
      </c>
      <c r="M748" s="37">
        <f t="shared" si="83"/>
        <v>17400.528600000001</v>
      </c>
    </row>
    <row r="749" spans="1:13" x14ac:dyDescent="0.4">
      <c r="A749" t="s">
        <v>23</v>
      </c>
      <c r="B749">
        <v>1</v>
      </c>
      <c r="C749" s="36">
        <v>126474.13</v>
      </c>
      <c r="D749" s="1">
        <v>45323</v>
      </c>
      <c r="E749" s="35">
        <f t="shared" si="77"/>
        <v>0.6</v>
      </c>
      <c r="F749" s="37">
        <f t="shared" si="78"/>
        <v>63237.065000000002</v>
      </c>
      <c r="G749" s="37">
        <f t="shared" si="79"/>
        <v>37942.239000000001</v>
      </c>
      <c r="H749" s="36" cm="1">
        <f t="array" ref="H749">SUMPRODUCT((C749&gt;tier_floor)*((C749-tier_floor)*step)*margin_rate)</f>
        <v>26817.239000000001</v>
      </c>
      <c r="I749" s="37">
        <f t="shared" si="80"/>
        <v>11125</v>
      </c>
      <c r="J749" s="38">
        <f t="shared" si="81"/>
        <v>2024</v>
      </c>
      <c r="K749" s="128">
        <f>(1+target)^($J749-(MIN(tbl_rep_mon[year])))</f>
        <v>1.5208749999999995</v>
      </c>
      <c r="L749" s="35">
        <f t="shared" si="82"/>
        <v>0.51</v>
      </c>
      <c r="M749" s="37">
        <f t="shared" si="83"/>
        <v>32250.903150000002</v>
      </c>
    </row>
    <row r="750" spans="1:13" x14ac:dyDescent="0.4">
      <c r="A750" t="s">
        <v>24</v>
      </c>
      <c r="B750">
        <v>3</v>
      </c>
      <c r="C750" s="36">
        <v>68077.62</v>
      </c>
      <c r="D750" s="1">
        <v>45323</v>
      </c>
      <c r="E750" s="35">
        <f t="shared" si="77"/>
        <v>0.42</v>
      </c>
      <c r="F750" s="37">
        <f t="shared" si="78"/>
        <v>34038.81</v>
      </c>
      <c r="G750" s="37">
        <f t="shared" si="79"/>
        <v>14296.300199999998</v>
      </c>
      <c r="H750" s="36" cm="1">
        <f t="array" ref="H750">SUMPRODUCT((C750&gt;tier_floor)*((C750-tier_floor)*step)*margin_rate)</f>
        <v>11046.3002</v>
      </c>
      <c r="I750" s="37">
        <f t="shared" si="80"/>
        <v>3249.9999999999982</v>
      </c>
      <c r="J750" s="38">
        <f t="shared" si="81"/>
        <v>2024</v>
      </c>
      <c r="K750" s="128">
        <f>(1+target)^($J750-(MIN(tbl_rep_mon[year])))</f>
        <v>1.5208749999999995</v>
      </c>
      <c r="L750" s="35">
        <f t="shared" si="82"/>
        <v>0.33</v>
      </c>
      <c r="M750" s="37">
        <f t="shared" si="83"/>
        <v>11232.8073</v>
      </c>
    </row>
    <row r="751" spans="1:13" x14ac:dyDescent="0.4">
      <c r="A751" t="s">
        <v>25</v>
      </c>
      <c r="B751">
        <v>2</v>
      </c>
      <c r="C751" s="36">
        <v>91183.05</v>
      </c>
      <c r="D751" s="1">
        <v>45323</v>
      </c>
      <c r="E751" s="35">
        <f t="shared" si="77"/>
        <v>0.51</v>
      </c>
      <c r="F751" s="37">
        <f t="shared" si="78"/>
        <v>45591.525000000001</v>
      </c>
      <c r="G751" s="37">
        <f t="shared" si="79"/>
        <v>23251.677750000003</v>
      </c>
      <c r="H751" s="36" cm="1">
        <f t="array" ref="H751">SUMPRODUCT((C751&gt;tier_floor)*((C751-tier_floor)*step)*margin_rate)</f>
        <v>16626.677750000003</v>
      </c>
      <c r="I751" s="37">
        <f t="shared" si="80"/>
        <v>6625</v>
      </c>
      <c r="J751" s="38">
        <f t="shared" si="81"/>
        <v>2024</v>
      </c>
      <c r="K751" s="128">
        <f>(1+target)^($J751-(MIN(tbl_rep_mon[year])))</f>
        <v>1.5208749999999995</v>
      </c>
      <c r="L751" s="35">
        <f t="shared" si="82"/>
        <v>0.42</v>
      </c>
      <c r="M751" s="37">
        <f t="shared" si="83"/>
        <v>19148.440500000001</v>
      </c>
    </row>
    <row r="752" spans="1:13" x14ac:dyDescent="0.4">
      <c r="A752" t="s">
        <v>26</v>
      </c>
      <c r="B752">
        <v>2</v>
      </c>
      <c r="C752" s="36">
        <v>74141.100000000006</v>
      </c>
      <c r="D752" s="1">
        <v>45323</v>
      </c>
      <c r="E752" s="35">
        <f t="shared" si="77"/>
        <v>0.42</v>
      </c>
      <c r="F752" s="37">
        <f t="shared" si="78"/>
        <v>37070.550000000003</v>
      </c>
      <c r="G752" s="37">
        <f t="shared" si="79"/>
        <v>15569.631000000001</v>
      </c>
      <c r="H752" s="36" cm="1">
        <f t="array" ref="H752">SUMPRODUCT((C752&gt;tier_floor)*((C752-tier_floor)*step)*margin_rate)</f>
        <v>12319.631000000001</v>
      </c>
      <c r="I752" s="37">
        <f t="shared" si="80"/>
        <v>3250</v>
      </c>
      <c r="J752" s="38">
        <f t="shared" si="81"/>
        <v>2024</v>
      </c>
      <c r="K752" s="128">
        <f>(1+target)^($J752-(MIN(tbl_rep_mon[year])))</f>
        <v>1.5208749999999995</v>
      </c>
      <c r="L752" s="35">
        <f t="shared" si="82"/>
        <v>0.33</v>
      </c>
      <c r="M752" s="37">
        <f t="shared" si="83"/>
        <v>12233.281500000001</v>
      </c>
    </row>
    <row r="753" spans="1:13" x14ac:dyDescent="0.4">
      <c r="A753" t="s">
        <v>29</v>
      </c>
      <c r="B753">
        <v>1</v>
      </c>
      <c r="C753" s="36">
        <v>112466.27</v>
      </c>
      <c r="D753" s="1">
        <v>45323</v>
      </c>
      <c r="E753" s="35">
        <f t="shared" si="77"/>
        <v>0.6</v>
      </c>
      <c r="F753" s="37">
        <f t="shared" si="78"/>
        <v>56233.135000000002</v>
      </c>
      <c r="G753" s="37">
        <f t="shared" si="79"/>
        <v>33739.881000000001</v>
      </c>
      <c r="H753" s="36" cm="1">
        <f t="array" ref="H753">SUMPRODUCT((C753&gt;tier_floor)*((C753-tier_floor)*step)*margin_rate)</f>
        <v>22614.881000000001</v>
      </c>
      <c r="I753" s="37">
        <f t="shared" si="80"/>
        <v>11125</v>
      </c>
      <c r="J753" s="38">
        <f t="shared" si="81"/>
        <v>2024</v>
      </c>
      <c r="K753" s="128">
        <f>(1+target)^($J753-(MIN(tbl_rep_mon[year])))</f>
        <v>1.5208749999999995</v>
      </c>
      <c r="L753" s="35">
        <f t="shared" si="82"/>
        <v>0.42</v>
      </c>
      <c r="M753" s="37">
        <f t="shared" si="83"/>
        <v>23617.916700000002</v>
      </c>
    </row>
    <row r="754" spans="1:13" x14ac:dyDescent="0.4">
      <c r="A754" t="s">
        <v>32</v>
      </c>
      <c r="B754">
        <v>4</v>
      </c>
      <c r="C754" s="36">
        <v>73579.09</v>
      </c>
      <c r="D754" s="1">
        <v>45323</v>
      </c>
      <c r="E754" s="35">
        <f t="shared" si="77"/>
        <v>0.42</v>
      </c>
      <c r="F754" s="37">
        <f t="shared" si="78"/>
        <v>36789.544999999998</v>
      </c>
      <c r="G754" s="37">
        <f t="shared" si="79"/>
        <v>15451.608899999999</v>
      </c>
      <c r="H754" s="36" cm="1">
        <f t="array" ref="H754">SUMPRODUCT((C754&gt;tier_floor)*((C754-tier_floor)*step)*margin_rate)</f>
        <v>12201.608899999999</v>
      </c>
      <c r="I754" s="37">
        <f t="shared" si="80"/>
        <v>3250</v>
      </c>
      <c r="J754" s="38">
        <f t="shared" si="81"/>
        <v>2024</v>
      </c>
      <c r="K754" s="128">
        <f>(1+target)^($J754-(MIN(tbl_rep_mon[year])))</f>
        <v>1.5208749999999995</v>
      </c>
      <c r="L754" s="35">
        <f t="shared" si="82"/>
        <v>0.33</v>
      </c>
      <c r="M754" s="37">
        <f t="shared" si="83"/>
        <v>12140.549849999999</v>
      </c>
    </row>
    <row r="755" spans="1:13" x14ac:dyDescent="0.4">
      <c r="A755" t="s">
        <v>33</v>
      </c>
      <c r="B755">
        <v>3</v>
      </c>
      <c r="C755" s="36">
        <v>55422.95</v>
      </c>
      <c r="D755" s="1">
        <v>45323</v>
      </c>
      <c r="E755" s="35">
        <f t="shared" si="77"/>
        <v>0.42</v>
      </c>
      <c r="F755" s="37">
        <f t="shared" si="78"/>
        <v>27711.474999999999</v>
      </c>
      <c r="G755" s="37">
        <f t="shared" si="79"/>
        <v>11638.8195</v>
      </c>
      <c r="H755" s="36" cm="1">
        <f t="array" ref="H755">SUMPRODUCT((C755&gt;tier_floor)*((C755-tier_floor)*step)*margin_rate)</f>
        <v>8388.8194999999996</v>
      </c>
      <c r="I755" s="37">
        <f t="shared" si="80"/>
        <v>3250</v>
      </c>
      <c r="J755" s="38">
        <f t="shared" si="81"/>
        <v>2024</v>
      </c>
      <c r="K755" s="128">
        <f>(1+target)^($J755-(MIN(tbl_rep_mon[year])))</f>
        <v>1.5208749999999995</v>
      </c>
      <c r="L755" s="35">
        <f t="shared" si="82"/>
        <v>0.33</v>
      </c>
      <c r="M755" s="37">
        <f t="shared" si="83"/>
        <v>9144.7867499999993</v>
      </c>
    </row>
    <row r="756" spans="1:13" x14ac:dyDescent="0.4">
      <c r="A756" t="s">
        <v>34</v>
      </c>
      <c r="B756">
        <v>4</v>
      </c>
      <c r="C756" s="36">
        <v>62599.45</v>
      </c>
      <c r="D756" s="1">
        <v>45323</v>
      </c>
      <c r="E756" s="35">
        <f t="shared" si="77"/>
        <v>0.42</v>
      </c>
      <c r="F756" s="37">
        <f t="shared" si="78"/>
        <v>31299.724999999999</v>
      </c>
      <c r="G756" s="37">
        <f t="shared" si="79"/>
        <v>13145.884499999998</v>
      </c>
      <c r="H756" s="36" cm="1">
        <f t="array" ref="H756">SUMPRODUCT((C756&gt;tier_floor)*((C756-tier_floor)*step)*margin_rate)</f>
        <v>9895.8845000000001</v>
      </c>
      <c r="I756" s="37">
        <f t="shared" si="80"/>
        <v>3249.9999999999982</v>
      </c>
      <c r="J756" s="38">
        <f t="shared" si="81"/>
        <v>2024</v>
      </c>
      <c r="K756" s="128">
        <f>(1+target)^($J756-(MIN(tbl_rep_mon[year])))</f>
        <v>1.5208749999999995</v>
      </c>
      <c r="L756" s="35">
        <f t="shared" si="82"/>
        <v>0.33</v>
      </c>
      <c r="M756" s="37">
        <f t="shared" si="83"/>
        <v>10328.909250000001</v>
      </c>
    </row>
    <row r="757" spans="1:13" x14ac:dyDescent="0.4">
      <c r="A757" t="s">
        <v>35</v>
      </c>
      <c r="B757">
        <v>4</v>
      </c>
      <c r="C757" s="36">
        <v>56611.839999999997</v>
      </c>
      <c r="D757" s="1">
        <v>45323</v>
      </c>
      <c r="E757" s="35">
        <f t="shared" si="77"/>
        <v>0.42</v>
      </c>
      <c r="F757" s="37">
        <f t="shared" si="78"/>
        <v>28305.919999999998</v>
      </c>
      <c r="G757" s="37">
        <f t="shared" si="79"/>
        <v>11888.486399999998</v>
      </c>
      <c r="H757" s="36" cm="1">
        <f t="array" ref="H757">SUMPRODUCT((C757&gt;tier_floor)*((C757-tier_floor)*step)*margin_rate)</f>
        <v>8638.486399999998</v>
      </c>
      <c r="I757" s="37">
        <f t="shared" si="80"/>
        <v>3250</v>
      </c>
      <c r="J757" s="38">
        <f t="shared" si="81"/>
        <v>2024</v>
      </c>
      <c r="K757" s="128">
        <f>(1+target)^($J757-(MIN(tbl_rep_mon[year])))</f>
        <v>1.5208749999999995</v>
      </c>
      <c r="L757" s="35">
        <f t="shared" si="82"/>
        <v>0.33</v>
      </c>
      <c r="M757" s="37">
        <f t="shared" si="83"/>
        <v>9340.9536000000007</v>
      </c>
    </row>
    <row r="758" spans="1:13" x14ac:dyDescent="0.4">
      <c r="A758" t="s">
        <v>37</v>
      </c>
      <c r="B758">
        <v>4</v>
      </c>
      <c r="C758" s="36">
        <v>70899.759999999995</v>
      </c>
      <c r="D758" s="1">
        <v>45323</v>
      </c>
      <c r="E758" s="35">
        <f t="shared" si="77"/>
        <v>0.42</v>
      </c>
      <c r="F758" s="37">
        <f t="shared" si="78"/>
        <v>35449.879999999997</v>
      </c>
      <c r="G758" s="37">
        <f t="shared" si="79"/>
        <v>14888.949599999998</v>
      </c>
      <c r="H758" s="36" cm="1">
        <f t="array" ref="H758">SUMPRODUCT((C758&gt;tier_floor)*((C758-tier_floor)*step)*margin_rate)</f>
        <v>11638.9496</v>
      </c>
      <c r="I758" s="37">
        <f t="shared" si="80"/>
        <v>3249.9999999999982</v>
      </c>
      <c r="J758" s="38">
        <f t="shared" si="81"/>
        <v>2024</v>
      </c>
      <c r="K758" s="128">
        <f>(1+target)^($J758-(MIN(tbl_rep_mon[year])))</f>
        <v>1.5208749999999995</v>
      </c>
      <c r="L758" s="35">
        <f t="shared" si="82"/>
        <v>0.33</v>
      </c>
      <c r="M758" s="37">
        <f t="shared" si="83"/>
        <v>11698.4604</v>
      </c>
    </row>
    <row r="759" spans="1:13" x14ac:dyDescent="0.4">
      <c r="A759" t="s">
        <v>38</v>
      </c>
      <c r="B759">
        <v>2</v>
      </c>
      <c r="C759" s="36">
        <v>87148.13</v>
      </c>
      <c r="D759" s="1">
        <v>45323</v>
      </c>
      <c r="E759" s="35">
        <f t="shared" si="77"/>
        <v>0.51</v>
      </c>
      <c r="F759" s="37">
        <f t="shared" si="78"/>
        <v>43574.065000000002</v>
      </c>
      <c r="G759" s="37">
        <f t="shared" si="79"/>
        <v>22222.773150000001</v>
      </c>
      <c r="H759" s="36" cm="1">
        <f t="array" ref="H759">SUMPRODUCT((C759&gt;tier_floor)*((C759-tier_floor)*step)*margin_rate)</f>
        <v>15597.773150000001</v>
      </c>
      <c r="I759" s="37">
        <f t="shared" si="80"/>
        <v>6625</v>
      </c>
      <c r="J759" s="38">
        <f t="shared" si="81"/>
        <v>2024</v>
      </c>
      <c r="K759" s="128">
        <f>(1+target)^($J759-(MIN(tbl_rep_mon[year])))</f>
        <v>1.5208749999999995</v>
      </c>
      <c r="L759" s="35">
        <f t="shared" si="82"/>
        <v>0.42</v>
      </c>
      <c r="M759" s="37">
        <f t="shared" si="83"/>
        <v>18301.1073</v>
      </c>
    </row>
    <row r="760" spans="1:13" x14ac:dyDescent="0.4">
      <c r="A760" t="s">
        <v>39</v>
      </c>
      <c r="B760">
        <v>2</v>
      </c>
      <c r="C760" s="36">
        <v>72411.22</v>
      </c>
      <c r="D760" s="1">
        <v>45323</v>
      </c>
      <c r="E760" s="35">
        <f t="shared" si="77"/>
        <v>0.42</v>
      </c>
      <c r="F760" s="37">
        <f t="shared" si="78"/>
        <v>36205.61</v>
      </c>
      <c r="G760" s="37">
        <f t="shared" si="79"/>
        <v>15206.3562</v>
      </c>
      <c r="H760" s="36" cm="1">
        <f t="array" ref="H760">SUMPRODUCT((C760&gt;tier_floor)*((C760-tier_floor)*step)*margin_rate)</f>
        <v>11956.3562</v>
      </c>
      <c r="I760" s="37">
        <f t="shared" si="80"/>
        <v>3250</v>
      </c>
      <c r="J760" s="38">
        <f t="shared" si="81"/>
        <v>2024</v>
      </c>
      <c r="K760" s="128">
        <f>(1+target)^($J760-(MIN(tbl_rep_mon[year])))</f>
        <v>1.5208749999999995</v>
      </c>
      <c r="L760" s="35">
        <f t="shared" si="82"/>
        <v>0.33</v>
      </c>
      <c r="M760" s="37">
        <f t="shared" si="83"/>
        <v>11947.8513</v>
      </c>
    </row>
    <row r="761" spans="1:13" x14ac:dyDescent="0.4">
      <c r="A761" t="s">
        <v>40</v>
      </c>
      <c r="B761">
        <v>4</v>
      </c>
      <c r="C761" s="36">
        <v>64420.68</v>
      </c>
      <c r="D761" s="1">
        <v>45323</v>
      </c>
      <c r="E761" s="35">
        <f t="shared" si="77"/>
        <v>0.42</v>
      </c>
      <c r="F761" s="37">
        <f t="shared" si="78"/>
        <v>32210.34</v>
      </c>
      <c r="G761" s="37">
        <f t="shared" si="79"/>
        <v>13528.3428</v>
      </c>
      <c r="H761" s="36" cm="1">
        <f t="array" ref="H761">SUMPRODUCT((C761&gt;tier_floor)*((C761-tier_floor)*step)*margin_rate)</f>
        <v>10278.3428</v>
      </c>
      <c r="I761" s="37">
        <f t="shared" si="80"/>
        <v>3250</v>
      </c>
      <c r="J761" s="38">
        <f t="shared" si="81"/>
        <v>2024</v>
      </c>
      <c r="K761" s="128">
        <f>(1+target)^($J761-(MIN(tbl_rep_mon[year])))</f>
        <v>1.5208749999999995</v>
      </c>
      <c r="L761" s="35">
        <f t="shared" si="82"/>
        <v>0.33</v>
      </c>
      <c r="M761" s="37">
        <f t="shared" si="83"/>
        <v>10629.412200000001</v>
      </c>
    </row>
    <row r="762" spans="1:13" x14ac:dyDescent="0.4">
      <c r="A762" t="s">
        <v>6</v>
      </c>
      <c r="B762">
        <v>2</v>
      </c>
      <c r="C762" s="36">
        <v>57996.3</v>
      </c>
      <c r="D762" s="1">
        <v>45352</v>
      </c>
      <c r="E762" s="35">
        <f t="shared" si="77"/>
        <v>0.42</v>
      </c>
      <c r="F762" s="37">
        <f t="shared" si="78"/>
        <v>28998.15</v>
      </c>
      <c r="G762" s="37">
        <f t="shared" si="79"/>
        <v>12179.223</v>
      </c>
      <c r="H762" s="36" cm="1">
        <f t="array" ref="H762">SUMPRODUCT((C762&gt;tier_floor)*((C762-tier_floor)*step)*margin_rate)</f>
        <v>8929.2230000000018</v>
      </c>
      <c r="I762" s="37">
        <f t="shared" si="80"/>
        <v>3249.9999999999982</v>
      </c>
      <c r="J762" s="38">
        <f t="shared" si="81"/>
        <v>2024</v>
      </c>
      <c r="K762" s="128">
        <f>(1+target)^($J762-(MIN(tbl_rep_mon[year])))</f>
        <v>1.5208749999999995</v>
      </c>
      <c r="L762" s="35">
        <f t="shared" si="82"/>
        <v>0.33</v>
      </c>
      <c r="M762" s="37">
        <f t="shared" si="83"/>
        <v>9569.3895000000011</v>
      </c>
    </row>
    <row r="763" spans="1:13" x14ac:dyDescent="0.4">
      <c r="A763" t="s">
        <v>7</v>
      </c>
      <c r="B763">
        <v>4</v>
      </c>
      <c r="C763" s="36">
        <v>65899.929999999993</v>
      </c>
      <c r="D763" s="1">
        <v>45352</v>
      </c>
      <c r="E763" s="35">
        <f t="shared" si="77"/>
        <v>0.42</v>
      </c>
      <c r="F763" s="37">
        <f t="shared" si="78"/>
        <v>32949.964999999997</v>
      </c>
      <c r="G763" s="37">
        <f t="shared" si="79"/>
        <v>13838.985299999998</v>
      </c>
      <c r="H763" s="36" cm="1">
        <f t="array" ref="H763">SUMPRODUCT((C763&gt;tier_floor)*((C763-tier_floor)*step)*margin_rate)</f>
        <v>10588.985299999998</v>
      </c>
      <c r="I763" s="37">
        <f t="shared" si="80"/>
        <v>3250</v>
      </c>
      <c r="J763" s="38">
        <f t="shared" si="81"/>
        <v>2024</v>
      </c>
      <c r="K763" s="128">
        <f>(1+target)^($J763-(MIN(tbl_rep_mon[year])))</f>
        <v>1.5208749999999995</v>
      </c>
      <c r="L763" s="35">
        <f t="shared" si="82"/>
        <v>0.33</v>
      </c>
      <c r="M763" s="37">
        <f t="shared" si="83"/>
        <v>10873.488449999999</v>
      </c>
    </row>
    <row r="764" spans="1:13" x14ac:dyDescent="0.4">
      <c r="A764" t="s">
        <v>8</v>
      </c>
      <c r="B764">
        <v>4</v>
      </c>
      <c r="C764" s="36">
        <v>55599.43</v>
      </c>
      <c r="D764" s="1">
        <v>45352</v>
      </c>
      <c r="E764" s="35">
        <f t="shared" si="77"/>
        <v>0.42</v>
      </c>
      <c r="F764" s="37">
        <f t="shared" si="78"/>
        <v>27799.715</v>
      </c>
      <c r="G764" s="37">
        <f t="shared" si="79"/>
        <v>11675.880299999999</v>
      </c>
      <c r="H764" s="36" cm="1">
        <f t="array" ref="H764">SUMPRODUCT((C764&gt;tier_floor)*((C764-tier_floor)*step)*margin_rate)</f>
        <v>8425.8803000000007</v>
      </c>
      <c r="I764" s="37">
        <f t="shared" si="80"/>
        <v>3249.9999999999982</v>
      </c>
      <c r="J764" s="38">
        <f t="shared" si="81"/>
        <v>2024</v>
      </c>
      <c r="K764" s="128">
        <f>(1+target)^($J764-(MIN(tbl_rep_mon[year])))</f>
        <v>1.5208749999999995</v>
      </c>
      <c r="L764" s="35">
        <f t="shared" si="82"/>
        <v>0.33</v>
      </c>
      <c r="M764" s="37">
        <f t="shared" si="83"/>
        <v>9173.9059500000003</v>
      </c>
    </row>
    <row r="765" spans="1:13" x14ac:dyDescent="0.4">
      <c r="A765" t="s">
        <v>15</v>
      </c>
      <c r="B765">
        <v>3</v>
      </c>
      <c r="C765" s="36">
        <v>95272.13</v>
      </c>
      <c r="D765" s="1">
        <v>45352</v>
      </c>
      <c r="E765" s="35">
        <f t="shared" si="77"/>
        <v>0.51</v>
      </c>
      <c r="F765" s="37">
        <f t="shared" si="78"/>
        <v>47636.065000000002</v>
      </c>
      <c r="G765" s="37">
        <f t="shared" si="79"/>
        <v>24294.39315</v>
      </c>
      <c r="H765" s="36" cm="1">
        <f t="array" ref="H765">SUMPRODUCT((C765&gt;tier_floor)*((C765-tier_floor)*step)*margin_rate)</f>
        <v>17669.39315</v>
      </c>
      <c r="I765" s="37">
        <f t="shared" si="80"/>
        <v>6625</v>
      </c>
      <c r="J765" s="38">
        <f t="shared" si="81"/>
        <v>2024</v>
      </c>
      <c r="K765" s="128">
        <f>(1+target)^($J765-(MIN(tbl_rep_mon[year])))</f>
        <v>1.5208749999999995</v>
      </c>
      <c r="L765" s="35">
        <f t="shared" si="82"/>
        <v>0.42</v>
      </c>
      <c r="M765" s="37">
        <f t="shared" si="83"/>
        <v>20007.147300000001</v>
      </c>
    </row>
    <row r="766" spans="1:13" x14ac:dyDescent="0.4">
      <c r="A766" t="s">
        <v>16</v>
      </c>
      <c r="B766">
        <v>3</v>
      </c>
      <c r="C766" s="36">
        <v>96919.5</v>
      </c>
      <c r="D766" s="1">
        <v>45352</v>
      </c>
      <c r="E766" s="35">
        <f t="shared" si="77"/>
        <v>0.51</v>
      </c>
      <c r="F766" s="37">
        <f t="shared" si="78"/>
        <v>48459.75</v>
      </c>
      <c r="G766" s="37">
        <f t="shared" si="79"/>
        <v>24714.4725</v>
      </c>
      <c r="H766" s="36" cm="1">
        <f t="array" ref="H766">SUMPRODUCT((C766&gt;tier_floor)*((C766-tier_floor)*step)*margin_rate)</f>
        <v>18089.4725</v>
      </c>
      <c r="I766" s="37">
        <f t="shared" si="80"/>
        <v>6625</v>
      </c>
      <c r="J766" s="38">
        <f t="shared" si="81"/>
        <v>2024</v>
      </c>
      <c r="K766" s="128">
        <f>(1+target)^($J766-(MIN(tbl_rep_mon[year])))</f>
        <v>1.5208749999999995</v>
      </c>
      <c r="L766" s="35">
        <f t="shared" si="82"/>
        <v>0.42</v>
      </c>
      <c r="M766" s="37">
        <f t="shared" si="83"/>
        <v>20353.094999999998</v>
      </c>
    </row>
    <row r="767" spans="1:13" x14ac:dyDescent="0.4">
      <c r="A767" t="s">
        <v>18</v>
      </c>
      <c r="B767">
        <v>3</v>
      </c>
      <c r="C767" s="36">
        <v>84854.63</v>
      </c>
      <c r="D767" s="1">
        <v>45352</v>
      </c>
      <c r="E767" s="35">
        <f t="shared" si="77"/>
        <v>0.51</v>
      </c>
      <c r="F767" s="37">
        <f t="shared" si="78"/>
        <v>42427.315000000002</v>
      </c>
      <c r="G767" s="37">
        <f t="shared" si="79"/>
        <v>21637.930650000002</v>
      </c>
      <c r="H767" s="36" cm="1">
        <f t="array" ref="H767">SUMPRODUCT((C767&gt;tier_floor)*((C767-tier_floor)*step)*margin_rate)</f>
        <v>15012.93065</v>
      </c>
      <c r="I767" s="37">
        <f t="shared" si="80"/>
        <v>6625.0000000000018</v>
      </c>
      <c r="J767" s="38">
        <f t="shared" si="81"/>
        <v>2024</v>
      </c>
      <c r="K767" s="128">
        <f>(1+target)^($J767-(MIN(tbl_rep_mon[year])))</f>
        <v>1.5208749999999995</v>
      </c>
      <c r="L767" s="35">
        <f t="shared" si="82"/>
        <v>0.42</v>
      </c>
      <c r="M767" s="37">
        <f t="shared" si="83"/>
        <v>17819.472300000001</v>
      </c>
    </row>
    <row r="768" spans="1:13" x14ac:dyDescent="0.4">
      <c r="A768" t="s">
        <v>19</v>
      </c>
      <c r="B768">
        <v>4</v>
      </c>
      <c r="C768" s="36">
        <v>42400.39</v>
      </c>
      <c r="D768" s="1">
        <v>45352</v>
      </c>
      <c r="E768" s="35">
        <f t="shared" si="77"/>
        <v>0.33</v>
      </c>
      <c r="F768" s="37">
        <f t="shared" si="78"/>
        <v>21200.195</v>
      </c>
      <c r="G768" s="37">
        <f t="shared" si="79"/>
        <v>6996.0643500000006</v>
      </c>
      <c r="H768" s="36" cm="1">
        <f t="array" ref="H768">SUMPRODUCT((C768&gt;tier_floor)*((C768-tier_floor)*step)*margin_rate)</f>
        <v>5996.0643499999996</v>
      </c>
      <c r="I768" s="37">
        <f t="shared" si="80"/>
        <v>1000.0000000000009</v>
      </c>
      <c r="J768" s="38">
        <f t="shared" si="81"/>
        <v>2024</v>
      </c>
      <c r="K768" s="128">
        <f>(1+target)^($J768-(MIN(tbl_rep_mon[year])))</f>
        <v>1.5208749999999995</v>
      </c>
      <c r="L768" s="35">
        <f t="shared" si="82"/>
        <v>0.33</v>
      </c>
      <c r="M768" s="37">
        <f t="shared" si="83"/>
        <v>6996.0643500000006</v>
      </c>
    </row>
    <row r="769" spans="1:13" x14ac:dyDescent="0.4">
      <c r="A769" t="s">
        <v>23</v>
      </c>
      <c r="B769">
        <v>1</v>
      </c>
      <c r="C769" s="36">
        <v>123703.6</v>
      </c>
      <c r="D769" s="1">
        <v>45352</v>
      </c>
      <c r="E769" s="35">
        <f t="shared" si="77"/>
        <v>0.6</v>
      </c>
      <c r="F769" s="37">
        <f t="shared" si="78"/>
        <v>61851.8</v>
      </c>
      <c r="G769" s="37">
        <f t="shared" si="79"/>
        <v>37111.08</v>
      </c>
      <c r="H769" s="36" cm="1">
        <f t="array" ref="H769">SUMPRODUCT((C769&gt;tier_floor)*((C769-tier_floor)*step)*margin_rate)</f>
        <v>25986.080000000002</v>
      </c>
      <c r="I769" s="37">
        <f t="shared" si="80"/>
        <v>11125</v>
      </c>
      <c r="J769" s="38">
        <f t="shared" si="81"/>
        <v>2024</v>
      </c>
      <c r="K769" s="128">
        <f>(1+target)^($J769-(MIN(tbl_rep_mon[year])))</f>
        <v>1.5208749999999995</v>
      </c>
      <c r="L769" s="35">
        <f t="shared" si="82"/>
        <v>0.51</v>
      </c>
      <c r="M769" s="37">
        <f t="shared" si="83"/>
        <v>31544.418000000001</v>
      </c>
    </row>
    <row r="770" spans="1:13" x14ac:dyDescent="0.4">
      <c r="A770" t="s">
        <v>24</v>
      </c>
      <c r="B770">
        <v>3</v>
      </c>
      <c r="C770" s="36">
        <v>71471.91</v>
      </c>
      <c r="D770" s="1">
        <v>45352</v>
      </c>
      <c r="E770" s="35">
        <f t="shared" ref="E770:E833" si="84">_xlfn.XLOOKUP(C770,tier_floor,tier_rate,,-1)</f>
        <v>0.42</v>
      </c>
      <c r="F770" s="37">
        <f t="shared" ref="F770:F833" si="85">C770*margin_rate</f>
        <v>35735.955000000002</v>
      </c>
      <c r="G770" s="37">
        <f t="shared" ref="G770:G833" si="86">F770*E770</f>
        <v>15009.1011</v>
      </c>
      <c r="H770" s="36" cm="1">
        <f t="array" ref="H770">SUMPRODUCT((C770&gt;tier_floor)*((C770-tier_floor)*step)*margin_rate)</f>
        <v>11759.101100000002</v>
      </c>
      <c r="I770" s="37">
        <f t="shared" ref="I770:I833" si="87">G770-H770</f>
        <v>3249.9999999999982</v>
      </c>
      <c r="J770" s="38">
        <f t="shared" ref="J770:J833" si="88">YEAR(D770)</f>
        <v>2024</v>
      </c>
      <c r="K770" s="128">
        <f>(1+target)^($J770-(MIN(tbl_rep_mon[year])))</f>
        <v>1.5208749999999995</v>
      </c>
      <c r="L770" s="35">
        <f t="shared" ref="L770:L833" si="89">_xlfn.XLOOKUP(($C770/$K770),tier_floor,tier_rate,,-1)</f>
        <v>0.33</v>
      </c>
      <c r="M770" s="37">
        <f t="shared" ref="M770:M833" si="90">$F770*$L770</f>
        <v>11792.865150000001</v>
      </c>
    </row>
    <row r="771" spans="1:13" x14ac:dyDescent="0.4">
      <c r="A771" t="s">
        <v>25</v>
      </c>
      <c r="B771">
        <v>2</v>
      </c>
      <c r="C771" s="36">
        <v>90068.77</v>
      </c>
      <c r="D771" s="1">
        <v>45352</v>
      </c>
      <c r="E771" s="35">
        <f t="shared" si="84"/>
        <v>0.51</v>
      </c>
      <c r="F771" s="37">
        <f t="shared" si="85"/>
        <v>45034.385000000002</v>
      </c>
      <c r="G771" s="37">
        <f t="shared" si="86"/>
        <v>22967.536350000002</v>
      </c>
      <c r="H771" s="36" cm="1">
        <f t="array" ref="H771">SUMPRODUCT((C771&gt;tier_floor)*((C771-tier_floor)*step)*margin_rate)</f>
        <v>16342.53635</v>
      </c>
      <c r="I771" s="37">
        <f t="shared" si="87"/>
        <v>6625.0000000000018</v>
      </c>
      <c r="J771" s="38">
        <f t="shared" si="88"/>
        <v>2024</v>
      </c>
      <c r="K771" s="128">
        <f>(1+target)^($J771-(MIN(tbl_rep_mon[year])))</f>
        <v>1.5208749999999995</v>
      </c>
      <c r="L771" s="35">
        <f t="shared" si="89"/>
        <v>0.42</v>
      </c>
      <c r="M771" s="37">
        <f t="shared" si="90"/>
        <v>18914.441699999999</v>
      </c>
    </row>
    <row r="772" spans="1:13" x14ac:dyDescent="0.4">
      <c r="A772" t="s">
        <v>26</v>
      </c>
      <c r="B772">
        <v>2</v>
      </c>
      <c r="C772" s="36">
        <v>95320.55</v>
      </c>
      <c r="D772" s="1">
        <v>45352</v>
      </c>
      <c r="E772" s="35">
        <f t="shared" si="84"/>
        <v>0.51</v>
      </c>
      <c r="F772" s="37">
        <f t="shared" si="85"/>
        <v>47660.275000000001</v>
      </c>
      <c r="G772" s="37">
        <f t="shared" si="86"/>
        <v>24306.740250000003</v>
      </c>
      <c r="H772" s="36" cm="1">
        <f t="array" ref="H772">SUMPRODUCT((C772&gt;tier_floor)*((C772-tier_floor)*step)*margin_rate)</f>
        <v>17681.740250000003</v>
      </c>
      <c r="I772" s="37">
        <f t="shared" si="87"/>
        <v>6625</v>
      </c>
      <c r="J772" s="38">
        <f t="shared" si="88"/>
        <v>2024</v>
      </c>
      <c r="K772" s="128">
        <f>(1+target)^($J772-(MIN(tbl_rep_mon[year])))</f>
        <v>1.5208749999999995</v>
      </c>
      <c r="L772" s="35">
        <f t="shared" si="89"/>
        <v>0.42</v>
      </c>
      <c r="M772" s="37">
        <f t="shared" si="90"/>
        <v>20017.315500000001</v>
      </c>
    </row>
    <row r="773" spans="1:13" x14ac:dyDescent="0.4">
      <c r="A773" t="s">
        <v>29</v>
      </c>
      <c r="B773">
        <v>1</v>
      </c>
      <c r="C773" s="36">
        <v>118660.22</v>
      </c>
      <c r="D773" s="1">
        <v>45352</v>
      </c>
      <c r="E773" s="35">
        <f t="shared" si="84"/>
        <v>0.6</v>
      </c>
      <c r="F773" s="37">
        <f t="shared" si="85"/>
        <v>59330.11</v>
      </c>
      <c r="G773" s="37">
        <f t="shared" si="86"/>
        <v>35598.065999999999</v>
      </c>
      <c r="H773" s="36" cm="1">
        <f t="array" ref="H773">SUMPRODUCT((C773&gt;tier_floor)*((C773-tier_floor)*step)*margin_rate)</f>
        <v>24473.065999999999</v>
      </c>
      <c r="I773" s="37">
        <f t="shared" si="87"/>
        <v>11125</v>
      </c>
      <c r="J773" s="38">
        <f t="shared" si="88"/>
        <v>2024</v>
      </c>
      <c r="K773" s="128">
        <f>(1+target)^($J773-(MIN(tbl_rep_mon[year])))</f>
        <v>1.5208749999999995</v>
      </c>
      <c r="L773" s="35">
        <f t="shared" si="89"/>
        <v>0.51</v>
      </c>
      <c r="M773" s="37">
        <f t="shared" si="90"/>
        <v>30258.356100000001</v>
      </c>
    </row>
    <row r="774" spans="1:13" x14ac:dyDescent="0.4">
      <c r="A774" t="s">
        <v>32</v>
      </c>
      <c r="B774">
        <v>4</v>
      </c>
      <c r="C774" s="36">
        <v>100306.25</v>
      </c>
      <c r="D774" s="1">
        <v>45352</v>
      </c>
      <c r="E774" s="35">
        <f t="shared" si="84"/>
        <v>0.6</v>
      </c>
      <c r="F774" s="37">
        <f t="shared" si="85"/>
        <v>50153.125</v>
      </c>
      <c r="G774" s="37">
        <f t="shared" si="86"/>
        <v>30091.875</v>
      </c>
      <c r="H774" s="36" cm="1">
        <f t="array" ref="H774">SUMPRODUCT((C774&gt;tier_floor)*((C774-tier_floor)*step)*margin_rate)</f>
        <v>18966.875</v>
      </c>
      <c r="I774" s="37">
        <f t="shared" si="87"/>
        <v>11125</v>
      </c>
      <c r="J774" s="38">
        <f t="shared" si="88"/>
        <v>2024</v>
      </c>
      <c r="K774" s="128">
        <f>(1+target)^($J774-(MIN(tbl_rep_mon[year])))</f>
        <v>1.5208749999999995</v>
      </c>
      <c r="L774" s="35">
        <f t="shared" si="89"/>
        <v>0.42</v>
      </c>
      <c r="M774" s="37">
        <f t="shared" si="90"/>
        <v>21064.3125</v>
      </c>
    </row>
    <row r="775" spans="1:13" x14ac:dyDescent="0.4">
      <c r="A775" t="s">
        <v>33</v>
      </c>
      <c r="B775">
        <v>3</v>
      </c>
      <c r="C775" s="36">
        <v>68077.98</v>
      </c>
      <c r="D775" s="1">
        <v>45352</v>
      </c>
      <c r="E775" s="35">
        <f t="shared" si="84"/>
        <v>0.42</v>
      </c>
      <c r="F775" s="37">
        <f t="shared" si="85"/>
        <v>34038.99</v>
      </c>
      <c r="G775" s="37">
        <f t="shared" si="86"/>
        <v>14296.375799999998</v>
      </c>
      <c r="H775" s="36" cm="1">
        <f t="array" ref="H775">SUMPRODUCT((C775&gt;tier_floor)*((C775-tier_floor)*step)*margin_rate)</f>
        <v>11046.375799999998</v>
      </c>
      <c r="I775" s="37">
        <f t="shared" si="87"/>
        <v>3250</v>
      </c>
      <c r="J775" s="38">
        <f t="shared" si="88"/>
        <v>2024</v>
      </c>
      <c r="K775" s="128">
        <f>(1+target)^($J775-(MIN(tbl_rep_mon[year])))</f>
        <v>1.5208749999999995</v>
      </c>
      <c r="L775" s="35">
        <f t="shared" si="89"/>
        <v>0.33</v>
      </c>
      <c r="M775" s="37">
        <f t="shared" si="90"/>
        <v>11232.8667</v>
      </c>
    </row>
    <row r="776" spans="1:13" x14ac:dyDescent="0.4">
      <c r="A776" t="s">
        <v>34</v>
      </c>
      <c r="B776">
        <v>4</v>
      </c>
      <c r="C776" s="36">
        <v>71867.77</v>
      </c>
      <c r="D776" s="1">
        <v>45352</v>
      </c>
      <c r="E776" s="35">
        <f t="shared" si="84"/>
        <v>0.42</v>
      </c>
      <c r="F776" s="37">
        <f t="shared" si="85"/>
        <v>35933.885000000002</v>
      </c>
      <c r="G776" s="37">
        <f t="shared" si="86"/>
        <v>15092.2317</v>
      </c>
      <c r="H776" s="36" cm="1">
        <f t="array" ref="H776">SUMPRODUCT((C776&gt;tier_floor)*((C776-tier_floor)*step)*margin_rate)</f>
        <v>11842.2317</v>
      </c>
      <c r="I776" s="37">
        <f t="shared" si="87"/>
        <v>3250</v>
      </c>
      <c r="J776" s="38">
        <f t="shared" si="88"/>
        <v>2024</v>
      </c>
      <c r="K776" s="128">
        <f>(1+target)^($J776-(MIN(tbl_rep_mon[year])))</f>
        <v>1.5208749999999995</v>
      </c>
      <c r="L776" s="35">
        <f t="shared" si="89"/>
        <v>0.33</v>
      </c>
      <c r="M776" s="37">
        <f t="shared" si="90"/>
        <v>11858.182050000001</v>
      </c>
    </row>
    <row r="777" spans="1:13" x14ac:dyDescent="0.4">
      <c r="A777" t="s">
        <v>35</v>
      </c>
      <c r="B777">
        <v>4</v>
      </c>
      <c r="C777" s="36">
        <v>63361.440000000002</v>
      </c>
      <c r="D777" s="1">
        <v>45352</v>
      </c>
      <c r="E777" s="35">
        <f t="shared" si="84"/>
        <v>0.42</v>
      </c>
      <c r="F777" s="37">
        <f t="shared" si="85"/>
        <v>31680.720000000001</v>
      </c>
      <c r="G777" s="37">
        <f t="shared" si="86"/>
        <v>13305.902400000001</v>
      </c>
      <c r="H777" s="36" cm="1">
        <f t="array" ref="H777">SUMPRODUCT((C777&gt;tier_floor)*((C777-tier_floor)*step)*margin_rate)</f>
        <v>10055.902399999999</v>
      </c>
      <c r="I777" s="37">
        <f t="shared" si="87"/>
        <v>3250.0000000000018</v>
      </c>
      <c r="J777" s="38">
        <f t="shared" si="88"/>
        <v>2024</v>
      </c>
      <c r="K777" s="128">
        <f>(1+target)^($J777-(MIN(tbl_rep_mon[year])))</f>
        <v>1.5208749999999995</v>
      </c>
      <c r="L777" s="35">
        <f t="shared" si="89"/>
        <v>0.33</v>
      </c>
      <c r="M777" s="37">
        <f t="shared" si="90"/>
        <v>10454.6376</v>
      </c>
    </row>
    <row r="778" spans="1:13" x14ac:dyDescent="0.4">
      <c r="A778" t="s">
        <v>37</v>
      </c>
      <c r="B778">
        <v>4</v>
      </c>
      <c r="C778" s="36">
        <v>85670.19</v>
      </c>
      <c r="D778" s="1">
        <v>45352</v>
      </c>
      <c r="E778" s="35">
        <f t="shared" si="84"/>
        <v>0.51</v>
      </c>
      <c r="F778" s="37">
        <f t="shared" si="85"/>
        <v>42835.095000000001</v>
      </c>
      <c r="G778" s="37">
        <f t="shared" si="86"/>
        <v>21845.898450000001</v>
      </c>
      <c r="H778" s="36" cm="1">
        <f t="array" ref="H778">SUMPRODUCT((C778&gt;tier_floor)*((C778-tier_floor)*step)*margin_rate)</f>
        <v>15220.898450000001</v>
      </c>
      <c r="I778" s="37">
        <f t="shared" si="87"/>
        <v>6625</v>
      </c>
      <c r="J778" s="38">
        <f t="shared" si="88"/>
        <v>2024</v>
      </c>
      <c r="K778" s="128">
        <f>(1+target)^($J778-(MIN(tbl_rep_mon[year])))</f>
        <v>1.5208749999999995</v>
      </c>
      <c r="L778" s="35">
        <f t="shared" si="89"/>
        <v>0.42</v>
      </c>
      <c r="M778" s="37">
        <f t="shared" si="90"/>
        <v>17990.7399</v>
      </c>
    </row>
    <row r="779" spans="1:13" x14ac:dyDescent="0.4">
      <c r="A779" t="s">
        <v>38</v>
      </c>
      <c r="B779">
        <v>2</v>
      </c>
      <c r="C779" s="36">
        <v>89751.85</v>
      </c>
      <c r="D779" s="1">
        <v>45352</v>
      </c>
      <c r="E779" s="35">
        <f t="shared" si="84"/>
        <v>0.51</v>
      </c>
      <c r="F779" s="37">
        <f t="shared" si="85"/>
        <v>44875.925000000003</v>
      </c>
      <c r="G779" s="37">
        <f t="shared" si="86"/>
        <v>22886.721750000001</v>
      </c>
      <c r="H779" s="36" cm="1">
        <f t="array" ref="H779">SUMPRODUCT((C779&gt;tier_floor)*((C779-tier_floor)*step)*margin_rate)</f>
        <v>16261.721750000001</v>
      </c>
      <c r="I779" s="37">
        <f t="shared" si="87"/>
        <v>6625</v>
      </c>
      <c r="J779" s="38">
        <f t="shared" si="88"/>
        <v>2024</v>
      </c>
      <c r="K779" s="128">
        <f>(1+target)^($J779-(MIN(tbl_rep_mon[year])))</f>
        <v>1.5208749999999995</v>
      </c>
      <c r="L779" s="35">
        <f t="shared" si="89"/>
        <v>0.42</v>
      </c>
      <c r="M779" s="37">
        <f t="shared" si="90"/>
        <v>18847.888500000001</v>
      </c>
    </row>
    <row r="780" spans="1:13" x14ac:dyDescent="0.4">
      <c r="A780" t="s">
        <v>39</v>
      </c>
      <c r="B780">
        <v>2</v>
      </c>
      <c r="C780" s="36">
        <v>102229.45</v>
      </c>
      <c r="D780" s="1">
        <v>45352</v>
      </c>
      <c r="E780" s="35">
        <f t="shared" si="84"/>
        <v>0.6</v>
      </c>
      <c r="F780" s="37">
        <f t="shared" si="85"/>
        <v>51114.724999999999</v>
      </c>
      <c r="G780" s="37">
        <f t="shared" si="86"/>
        <v>30668.834999999999</v>
      </c>
      <c r="H780" s="36" cm="1">
        <f t="array" ref="H780">SUMPRODUCT((C780&gt;tier_floor)*((C780-tier_floor)*step)*margin_rate)</f>
        <v>19543.834999999999</v>
      </c>
      <c r="I780" s="37">
        <f t="shared" si="87"/>
        <v>11125</v>
      </c>
      <c r="J780" s="38">
        <f t="shared" si="88"/>
        <v>2024</v>
      </c>
      <c r="K780" s="128">
        <f>(1+target)^($J780-(MIN(tbl_rep_mon[year])))</f>
        <v>1.5208749999999995</v>
      </c>
      <c r="L780" s="35">
        <f t="shared" si="89"/>
        <v>0.42</v>
      </c>
      <c r="M780" s="37">
        <f t="shared" si="90"/>
        <v>21468.184499999999</v>
      </c>
    </row>
    <row r="781" spans="1:13" x14ac:dyDescent="0.4">
      <c r="A781" t="s">
        <v>40</v>
      </c>
      <c r="B781">
        <v>4</v>
      </c>
      <c r="C781" s="36">
        <v>55319.65</v>
      </c>
      <c r="D781" s="1">
        <v>45352</v>
      </c>
      <c r="E781" s="35">
        <f t="shared" si="84"/>
        <v>0.42</v>
      </c>
      <c r="F781" s="37">
        <f t="shared" si="85"/>
        <v>27659.825000000001</v>
      </c>
      <c r="G781" s="37">
        <f t="shared" si="86"/>
        <v>11617.1265</v>
      </c>
      <c r="H781" s="36" cm="1">
        <f t="array" ref="H781">SUMPRODUCT((C781&gt;tier_floor)*((C781-tier_floor)*step)*margin_rate)</f>
        <v>8367.1265000000003</v>
      </c>
      <c r="I781" s="37">
        <f t="shared" si="87"/>
        <v>3250</v>
      </c>
      <c r="J781" s="38">
        <f t="shared" si="88"/>
        <v>2024</v>
      </c>
      <c r="K781" s="128">
        <f>(1+target)^($J781-(MIN(tbl_rep_mon[year])))</f>
        <v>1.5208749999999995</v>
      </c>
      <c r="L781" s="35">
        <f t="shared" si="89"/>
        <v>0.33</v>
      </c>
      <c r="M781" s="37">
        <f t="shared" si="90"/>
        <v>9127.7422500000011</v>
      </c>
    </row>
    <row r="782" spans="1:13" x14ac:dyDescent="0.4">
      <c r="A782" t="s">
        <v>6</v>
      </c>
      <c r="B782">
        <v>2</v>
      </c>
      <c r="C782" s="36">
        <v>89770.09</v>
      </c>
      <c r="D782" s="1">
        <v>45383</v>
      </c>
      <c r="E782" s="35">
        <f t="shared" si="84"/>
        <v>0.51</v>
      </c>
      <c r="F782" s="37">
        <f t="shared" si="85"/>
        <v>44885.044999999998</v>
      </c>
      <c r="G782" s="37">
        <f t="shared" si="86"/>
        <v>22891.372950000001</v>
      </c>
      <c r="H782" s="36" cm="1">
        <f t="array" ref="H782">SUMPRODUCT((C782&gt;tier_floor)*((C782-tier_floor)*step)*margin_rate)</f>
        <v>16266.372949999997</v>
      </c>
      <c r="I782" s="37">
        <f t="shared" si="87"/>
        <v>6625.0000000000036</v>
      </c>
      <c r="J782" s="38">
        <f t="shared" si="88"/>
        <v>2024</v>
      </c>
      <c r="K782" s="128">
        <f>(1+target)^($J782-(MIN(tbl_rep_mon[year])))</f>
        <v>1.5208749999999995</v>
      </c>
      <c r="L782" s="35">
        <f t="shared" si="89"/>
        <v>0.42</v>
      </c>
      <c r="M782" s="37">
        <f t="shared" si="90"/>
        <v>18851.7189</v>
      </c>
    </row>
    <row r="783" spans="1:13" x14ac:dyDescent="0.4">
      <c r="A783" t="s">
        <v>7</v>
      </c>
      <c r="B783">
        <v>4</v>
      </c>
      <c r="C783" s="36">
        <v>65275.8</v>
      </c>
      <c r="D783" s="1">
        <v>45383</v>
      </c>
      <c r="E783" s="35">
        <f t="shared" si="84"/>
        <v>0.42</v>
      </c>
      <c r="F783" s="37">
        <f t="shared" si="85"/>
        <v>32637.9</v>
      </c>
      <c r="G783" s="37">
        <f t="shared" si="86"/>
        <v>13707.918</v>
      </c>
      <c r="H783" s="36" cm="1">
        <f t="array" ref="H783">SUMPRODUCT((C783&gt;tier_floor)*((C783-tier_floor)*step)*margin_rate)</f>
        <v>10457.918000000001</v>
      </c>
      <c r="I783" s="37">
        <f t="shared" si="87"/>
        <v>3249.9999999999982</v>
      </c>
      <c r="J783" s="38">
        <f t="shared" si="88"/>
        <v>2024</v>
      </c>
      <c r="K783" s="128">
        <f>(1+target)^($J783-(MIN(tbl_rep_mon[year])))</f>
        <v>1.5208749999999995</v>
      </c>
      <c r="L783" s="35">
        <f t="shared" si="89"/>
        <v>0.33</v>
      </c>
      <c r="M783" s="37">
        <f t="shared" si="90"/>
        <v>10770.507000000001</v>
      </c>
    </row>
    <row r="784" spans="1:13" x14ac:dyDescent="0.4">
      <c r="A784" t="s">
        <v>8</v>
      </c>
      <c r="B784">
        <v>4</v>
      </c>
      <c r="C784" s="36">
        <v>69754.44</v>
      </c>
      <c r="D784" s="1">
        <v>45383</v>
      </c>
      <c r="E784" s="35">
        <f t="shared" si="84"/>
        <v>0.42</v>
      </c>
      <c r="F784" s="37">
        <f t="shared" si="85"/>
        <v>34877.22</v>
      </c>
      <c r="G784" s="37">
        <f t="shared" si="86"/>
        <v>14648.4324</v>
      </c>
      <c r="H784" s="36" cm="1">
        <f t="array" ref="H784">SUMPRODUCT((C784&gt;tier_floor)*((C784-tier_floor)*step)*margin_rate)</f>
        <v>11398.432400000002</v>
      </c>
      <c r="I784" s="37">
        <f t="shared" si="87"/>
        <v>3249.9999999999982</v>
      </c>
      <c r="J784" s="38">
        <f t="shared" si="88"/>
        <v>2024</v>
      </c>
      <c r="K784" s="128">
        <f>(1+target)^($J784-(MIN(tbl_rep_mon[year])))</f>
        <v>1.5208749999999995</v>
      </c>
      <c r="L784" s="35">
        <f t="shared" si="89"/>
        <v>0.33</v>
      </c>
      <c r="M784" s="37">
        <f t="shared" si="90"/>
        <v>11509.482600000001</v>
      </c>
    </row>
    <row r="785" spans="1:13" x14ac:dyDescent="0.4">
      <c r="A785" t="s">
        <v>15</v>
      </c>
      <c r="B785">
        <v>3</v>
      </c>
      <c r="C785" s="36">
        <v>101754.4</v>
      </c>
      <c r="D785" s="1">
        <v>45383</v>
      </c>
      <c r="E785" s="35">
        <f t="shared" si="84"/>
        <v>0.6</v>
      </c>
      <c r="F785" s="37">
        <f t="shared" si="85"/>
        <v>50877.2</v>
      </c>
      <c r="G785" s="37">
        <f t="shared" si="86"/>
        <v>30526.319999999996</v>
      </c>
      <c r="H785" s="36" cm="1">
        <f t="array" ref="H785">SUMPRODUCT((C785&gt;tier_floor)*((C785-tier_floor)*step)*margin_rate)</f>
        <v>19401.32</v>
      </c>
      <c r="I785" s="37">
        <f t="shared" si="87"/>
        <v>11124.999999999996</v>
      </c>
      <c r="J785" s="38">
        <f t="shared" si="88"/>
        <v>2024</v>
      </c>
      <c r="K785" s="128">
        <f>(1+target)^($J785-(MIN(tbl_rep_mon[year])))</f>
        <v>1.5208749999999995</v>
      </c>
      <c r="L785" s="35">
        <f t="shared" si="89"/>
        <v>0.42</v>
      </c>
      <c r="M785" s="37">
        <f t="shared" si="90"/>
        <v>21368.423999999999</v>
      </c>
    </row>
    <row r="786" spans="1:13" x14ac:dyDescent="0.4">
      <c r="A786" t="s">
        <v>16</v>
      </c>
      <c r="B786">
        <v>3</v>
      </c>
      <c r="C786" s="36">
        <v>102308.82</v>
      </c>
      <c r="D786" s="1">
        <v>45383</v>
      </c>
      <c r="E786" s="35">
        <f t="shared" si="84"/>
        <v>0.6</v>
      </c>
      <c r="F786" s="37">
        <f t="shared" si="85"/>
        <v>51154.41</v>
      </c>
      <c r="G786" s="37">
        <f t="shared" si="86"/>
        <v>30692.646000000001</v>
      </c>
      <c r="H786" s="36" cm="1">
        <f t="array" ref="H786">SUMPRODUCT((C786&gt;tier_floor)*((C786-tier_floor)*step)*margin_rate)</f>
        <v>19567.646000000001</v>
      </c>
      <c r="I786" s="37">
        <f t="shared" si="87"/>
        <v>11125</v>
      </c>
      <c r="J786" s="38">
        <f t="shared" si="88"/>
        <v>2024</v>
      </c>
      <c r="K786" s="128">
        <f>(1+target)^($J786-(MIN(tbl_rep_mon[year])))</f>
        <v>1.5208749999999995</v>
      </c>
      <c r="L786" s="35">
        <f t="shared" si="89"/>
        <v>0.42</v>
      </c>
      <c r="M786" s="37">
        <f t="shared" si="90"/>
        <v>21484.852200000001</v>
      </c>
    </row>
    <row r="787" spans="1:13" x14ac:dyDescent="0.4">
      <c r="A787" t="s">
        <v>18</v>
      </c>
      <c r="B787">
        <v>3</v>
      </c>
      <c r="C787" s="36">
        <v>68793.23</v>
      </c>
      <c r="D787" s="1">
        <v>45383</v>
      </c>
      <c r="E787" s="35">
        <f t="shared" si="84"/>
        <v>0.42</v>
      </c>
      <c r="F787" s="37">
        <f t="shared" si="85"/>
        <v>34396.614999999998</v>
      </c>
      <c r="G787" s="37">
        <f t="shared" si="86"/>
        <v>14446.578299999999</v>
      </c>
      <c r="H787" s="36" cm="1">
        <f t="array" ref="H787">SUMPRODUCT((C787&gt;tier_floor)*((C787-tier_floor)*step)*margin_rate)</f>
        <v>11196.578299999999</v>
      </c>
      <c r="I787" s="37">
        <f t="shared" si="87"/>
        <v>3250</v>
      </c>
      <c r="J787" s="38">
        <f t="shared" si="88"/>
        <v>2024</v>
      </c>
      <c r="K787" s="128">
        <f>(1+target)^($J787-(MIN(tbl_rep_mon[year])))</f>
        <v>1.5208749999999995</v>
      </c>
      <c r="L787" s="35">
        <f t="shared" si="89"/>
        <v>0.33</v>
      </c>
      <c r="M787" s="37">
        <f t="shared" si="90"/>
        <v>11350.882949999999</v>
      </c>
    </row>
    <row r="788" spans="1:13" x14ac:dyDescent="0.4">
      <c r="A788" t="s">
        <v>19</v>
      </c>
      <c r="B788">
        <v>4</v>
      </c>
      <c r="C788" s="36">
        <v>70732.87</v>
      </c>
      <c r="D788" s="1">
        <v>45383</v>
      </c>
      <c r="E788" s="35">
        <f t="shared" si="84"/>
        <v>0.42</v>
      </c>
      <c r="F788" s="37">
        <f t="shared" si="85"/>
        <v>35366.434999999998</v>
      </c>
      <c r="G788" s="37">
        <f t="shared" si="86"/>
        <v>14853.902699999999</v>
      </c>
      <c r="H788" s="36" cm="1">
        <f t="array" ref="H788">SUMPRODUCT((C788&gt;tier_floor)*((C788-tier_floor)*step)*margin_rate)</f>
        <v>11603.902699999999</v>
      </c>
      <c r="I788" s="37">
        <f t="shared" si="87"/>
        <v>3250</v>
      </c>
      <c r="J788" s="38">
        <f t="shared" si="88"/>
        <v>2024</v>
      </c>
      <c r="K788" s="128">
        <f>(1+target)^($J788-(MIN(tbl_rep_mon[year])))</f>
        <v>1.5208749999999995</v>
      </c>
      <c r="L788" s="35">
        <f t="shared" si="89"/>
        <v>0.33</v>
      </c>
      <c r="M788" s="37">
        <f t="shared" si="90"/>
        <v>11670.92355</v>
      </c>
    </row>
    <row r="789" spans="1:13" x14ac:dyDescent="0.4">
      <c r="A789" t="s">
        <v>23</v>
      </c>
      <c r="B789">
        <v>1</v>
      </c>
      <c r="C789" s="36">
        <v>139014.64000000001</v>
      </c>
      <c r="D789" s="1">
        <v>45383</v>
      </c>
      <c r="E789" s="35">
        <f t="shared" si="84"/>
        <v>0.6</v>
      </c>
      <c r="F789" s="37">
        <f t="shared" si="85"/>
        <v>69507.320000000007</v>
      </c>
      <c r="G789" s="37">
        <f t="shared" si="86"/>
        <v>41704.392</v>
      </c>
      <c r="H789" s="36" cm="1">
        <f t="array" ref="H789">SUMPRODUCT((C789&gt;tier_floor)*((C789-tier_floor)*step)*margin_rate)</f>
        <v>30579.392000000007</v>
      </c>
      <c r="I789" s="37">
        <f t="shared" si="87"/>
        <v>11124.999999999993</v>
      </c>
      <c r="J789" s="38">
        <f t="shared" si="88"/>
        <v>2024</v>
      </c>
      <c r="K789" s="128">
        <f>(1+target)^($J789-(MIN(tbl_rep_mon[year])))</f>
        <v>1.5208749999999995</v>
      </c>
      <c r="L789" s="35">
        <f t="shared" si="89"/>
        <v>0.51</v>
      </c>
      <c r="M789" s="37">
        <f t="shared" si="90"/>
        <v>35448.733200000002</v>
      </c>
    </row>
    <row r="790" spans="1:13" x14ac:dyDescent="0.4">
      <c r="A790" t="s">
        <v>24</v>
      </c>
      <c r="B790">
        <v>3</v>
      </c>
      <c r="C790" s="36">
        <v>55306.14</v>
      </c>
      <c r="D790" s="1">
        <v>45383</v>
      </c>
      <c r="E790" s="35">
        <f t="shared" si="84"/>
        <v>0.42</v>
      </c>
      <c r="F790" s="37">
        <f t="shared" si="85"/>
        <v>27653.07</v>
      </c>
      <c r="G790" s="37">
        <f t="shared" si="86"/>
        <v>11614.2894</v>
      </c>
      <c r="H790" s="36" cm="1">
        <f t="array" ref="H790">SUMPRODUCT((C790&gt;tier_floor)*((C790-tier_floor)*step)*margin_rate)</f>
        <v>8364.2893999999997</v>
      </c>
      <c r="I790" s="37">
        <f t="shared" si="87"/>
        <v>3250</v>
      </c>
      <c r="J790" s="38">
        <f t="shared" si="88"/>
        <v>2024</v>
      </c>
      <c r="K790" s="128">
        <f>(1+target)^($J790-(MIN(tbl_rep_mon[year])))</f>
        <v>1.5208749999999995</v>
      </c>
      <c r="L790" s="35">
        <f t="shared" si="89"/>
        <v>0.33</v>
      </c>
      <c r="M790" s="37">
        <f t="shared" si="90"/>
        <v>9125.5131000000001</v>
      </c>
    </row>
    <row r="791" spans="1:13" x14ac:dyDescent="0.4">
      <c r="A791" t="s">
        <v>25</v>
      </c>
      <c r="B791">
        <v>2</v>
      </c>
      <c r="C791" s="36">
        <v>96275</v>
      </c>
      <c r="D791" s="1">
        <v>45383</v>
      </c>
      <c r="E791" s="35">
        <f t="shared" si="84"/>
        <v>0.51</v>
      </c>
      <c r="F791" s="37">
        <f t="shared" si="85"/>
        <v>48137.5</v>
      </c>
      <c r="G791" s="37">
        <f t="shared" si="86"/>
        <v>24550.125</v>
      </c>
      <c r="H791" s="36" cm="1">
        <f t="array" ref="H791">SUMPRODUCT((C791&gt;tier_floor)*((C791-tier_floor)*step)*margin_rate)</f>
        <v>17925.125</v>
      </c>
      <c r="I791" s="37">
        <f t="shared" si="87"/>
        <v>6625</v>
      </c>
      <c r="J791" s="38">
        <f t="shared" si="88"/>
        <v>2024</v>
      </c>
      <c r="K791" s="128">
        <f>(1+target)^($J791-(MIN(tbl_rep_mon[year])))</f>
        <v>1.5208749999999995</v>
      </c>
      <c r="L791" s="35">
        <f t="shared" si="89"/>
        <v>0.42</v>
      </c>
      <c r="M791" s="37">
        <f t="shared" si="90"/>
        <v>20217.75</v>
      </c>
    </row>
    <row r="792" spans="1:13" x14ac:dyDescent="0.4">
      <c r="A792" t="s">
        <v>26</v>
      </c>
      <c r="B792">
        <v>2</v>
      </c>
      <c r="C792" s="36">
        <v>100250.17</v>
      </c>
      <c r="D792" s="1">
        <v>45383</v>
      </c>
      <c r="E792" s="35">
        <f t="shared" si="84"/>
        <v>0.6</v>
      </c>
      <c r="F792" s="37">
        <f t="shared" si="85"/>
        <v>50125.084999999999</v>
      </c>
      <c r="G792" s="37">
        <f t="shared" si="86"/>
        <v>30075.050999999999</v>
      </c>
      <c r="H792" s="36" cm="1">
        <f t="array" ref="H792">SUMPRODUCT((C792&gt;tier_floor)*((C792-tier_floor)*step)*margin_rate)</f>
        <v>18950.050999999999</v>
      </c>
      <c r="I792" s="37">
        <f t="shared" si="87"/>
        <v>11125</v>
      </c>
      <c r="J792" s="38">
        <f t="shared" si="88"/>
        <v>2024</v>
      </c>
      <c r="K792" s="128">
        <f>(1+target)^($J792-(MIN(tbl_rep_mon[year])))</f>
        <v>1.5208749999999995</v>
      </c>
      <c r="L792" s="35">
        <f t="shared" si="89"/>
        <v>0.42</v>
      </c>
      <c r="M792" s="37">
        <f t="shared" si="90"/>
        <v>21052.5357</v>
      </c>
    </row>
    <row r="793" spans="1:13" x14ac:dyDescent="0.4">
      <c r="A793" t="s">
        <v>29</v>
      </c>
      <c r="B793">
        <v>1</v>
      </c>
      <c r="C793" s="36">
        <v>116135.82</v>
      </c>
      <c r="D793" s="1">
        <v>45383</v>
      </c>
      <c r="E793" s="35">
        <f t="shared" si="84"/>
        <v>0.6</v>
      </c>
      <c r="F793" s="37">
        <f t="shared" si="85"/>
        <v>58067.91</v>
      </c>
      <c r="G793" s="37">
        <f t="shared" si="86"/>
        <v>34840.745999999999</v>
      </c>
      <c r="H793" s="36" cm="1">
        <f t="array" ref="H793">SUMPRODUCT((C793&gt;tier_floor)*((C793-tier_floor)*step)*margin_rate)</f>
        <v>23715.746000000003</v>
      </c>
      <c r="I793" s="37">
        <f t="shared" si="87"/>
        <v>11124.999999999996</v>
      </c>
      <c r="J793" s="38">
        <f t="shared" si="88"/>
        <v>2024</v>
      </c>
      <c r="K793" s="128">
        <f>(1+target)^($J793-(MIN(tbl_rep_mon[year])))</f>
        <v>1.5208749999999995</v>
      </c>
      <c r="L793" s="35">
        <f t="shared" si="89"/>
        <v>0.51</v>
      </c>
      <c r="M793" s="37">
        <f t="shared" si="90"/>
        <v>29614.634100000003</v>
      </c>
    </row>
    <row r="794" spans="1:13" x14ac:dyDescent="0.4">
      <c r="A794" t="s">
        <v>32</v>
      </c>
      <c r="B794">
        <v>4</v>
      </c>
      <c r="C794" s="36">
        <v>98368.79</v>
      </c>
      <c r="D794" s="1">
        <v>45383</v>
      </c>
      <c r="E794" s="35">
        <f t="shared" si="84"/>
        <v>0.51</v>
      </c>
      <c r="F794" s="37">
        <f t="shared" si="85"/>
        <v>49184.394999999997</v>
      </c>
      <c r="G794" s="37">
        <f t="shared" si="86"/>
        <v>25084.041449999997</v>
      </c>
      <c r="H794" s="36" cm="1">
        <f t="array" ref="H794">SUMPRODUCT((C794&gt;tier_floor)*((C794-tier_floor)*step)*margin_rate)</f>
        <v>18459.041449999997</v>
      </c>
      <c r="I794" s="37">
        <f t="shared" si="87"/>
        <v>6625</v>
      </c>
      <c r="J794" s="38">
        <f t="shared" si="88"/>
        <v>2024</v>
      </c>
      <c r="K794" s="128">
        <f>(1+target)^($J794-(MIN(tbl_rep_mon[year])))</f>
        <v>1.5208749999999995</v>
      </c>
      <c r="L794" s="35">
        <f t="shared" si="89"/>
        <v>0.42</v>
      </c>
      <c r="M794" s="37">
        <f t="shared" si="90"/>
        <v>20657.445899999999</v>
      </c>
    </row>
    <row r="795" spans="1:13" x14ac:dyDescent="0.4">
      <c r="A795" t="s">
        <v>33</v>
      </c>
      <c r="B795">
        <v>3</v>
      </c>
      <c r="C795" s="36">
        <v>62892.85</v>
      </c>
      <c r="D795" s="1">
        <v>45383</v>
      </c>
      <c r="E795" s="35">
        <f t="shared" si="84"/>
        <v>0.42</v>
      </c>
      <c r="F795" s="37">
        <f t="shared" si="85"/>
        <v>31446.424999999999</v>
      </c>
      <c r="G795" s="37">
        <f t="shared" si="86"/>
        <v>13207.4985</v>
      </c>
      <c r="H795" s="36" cm="1">
        <f t="array" ref="H795">SUMPRODUCT((C795&gt;tier_floor)*((C795-tier_floor)*step)*margin_rate)</f>
        <v>9957.4984999999997</v>
      </c>
      <c r="I795" s="37">
        <f t="shared" si="87"/>
        <v>3250</v>
      </c>
      <c r="J795" s="38">
        <f t="shared" si="88"/>
        <v>2024</v>
      </c>
      <c r="K795" s="128">
        <f>(1+target)^($J795-(MIN(tbl_rep_mon[year])))</f>
        <v>1.5208749999999995</v>
      </c>
      <c r="L795" s="35">
        <f t="shared" si="89"/>
        <v>0.33</v>
      </c>
      <c r="M795" s="37">
        <f t="shared" si="90"/>
        <v>10377.320250000001</v>
      </c>
    </row>
    <row r="796" spans="1:13" x14ac:dyDescent="0.4">
      <c r="A796" t="s">
        <v>34</v>
      </c>
      <c r="B796">
        <v>4</v>
      </c>
      <c r="C796" s="36">
        <v>69538.509999999995</v>
      </c>
      <c r="D796" s="1">
        <v>45383</v>
      </c>
      <c r="E796" s="35">
        <f t="shared" si="84"/>
        <v>0.42</v>
      </c>
      <c r="F796" s="37">
        <f t="shared" si="85"/>
        <v>34769.254999999997</v>
      </c>
      <c r="G796" s="37">
        <f t="shared" si="86"/>
        <v>14603.087099999999</v>
      </c>
      <c r="H796" s="36" cm="1">
        <f t="array" ref="H796">SUMPRODUCT((C796&gt;tier_floor)*((C796-tier_floor)*step)*margin_rate)</f>
        <v>11353.087099999999</v>
      </c>
      <c r="I796" s="37">
        <f t="shared" si="87"/>
        <v>3250</v>
      </c>
      <c r="J796" s="38">
        <f t="shared" si="88"/>
        <v>2024</v>
      </c>
      <c r="K796" s="128">
        <f>(1+target)^($J796-(MIN(tbl_rep_mon[year])))</f>
        <v>1.5208749999999995</v>
      </c>
      <c r="L796" s="35">
        <f t="shared" si="89"/>
        <v>0.33</v>
      </c>
      <c r="M796" s="37">
        <f t="shared" si="90"/>
        <v>11473.854149999999</v>
      </c>
    </row>
    <row r="797" spans="1:13" x14ac:dyDescent="0.4">
      <c r="A797" t="s">
        <v>35</v>
      </c>
      <c r="B797">
        <v>4</v>
      </c>
      <c r="C797" s="36">
        <v>63841.72</v>
      </c>
      <c r="D797" s="1">
        <v>45383</v>
      </c>
      <c r="E797" s="35">
        <f t="shared" si="84"/>
        <v>0.42</v>
      </c>
      <c r="F797" s="37">
        <f t="shared" si="85"/>
        <v>31920.86</v>
      </c>
      <c r="G797" s="37">
        <f t="shared" si="86"/>
        <v>13406.761199999999</v>
      </c>
      <c r="H797" s="36" cm="1">
        <f t="array" ref="H797">SUMPRODUCT((C797&gt;tier_floor)*((C797-tier_floor)*step)*margin_rate)</f>
        <v>10156.761199999999</v>
      </c>
      <c r="I797" s="37">
        <f t="shared" si="87"/>
        <v>3250</v>
      </c>
      <c r="J797" s="38">
        <f t="shared" si="88"/>
        <v>2024</v>
      </c>
      <c r="K797" s="128">
        <f>(1+target)^($J797-(MIN(tbl_rep_mon[year])))</f>
        <v>1.5208749999999995</v>
      </c>
      <c r="L797" s="35">
        <f t="shared" si="89"/>
        <v>0.33</v>
      </c>
      <c r="M797" s="37">
        <f t="shared" si="90"/>
        <v>10533.883800000001</v>
      </c>
    </row>
    <row r="798" spans="1:13" x14ac:dyDescent="0.4">
      <c r="A798" t="s">
        <v>37</v>
      </c>
      <c r="B798">
        <v>4</v>
      </c>
      <c r="C798" s="36">
        <v>79238.3</v>
      </c>
      <c r="D798" s="1">
        <v>45383</v>
      </c>
      <c r="E798" s="35">
        <f t="shared" si="84"/>
        <v>0.51</v>
      </c>
      <c r="F798" s="37">
        <f t="shared" si="85"/>
        <v>39619.15</v>
      </c>
      <c r="G798" s="37">
        <f t="shared" si="86"/>
        <v>20205.766500000002</v>
      </c>
      <c r="H798" s="36" cm="1">
        <f t="array" ref="H798">SUMPRODUCT((C798&gt;tier_floor)*((C798-tier_floor)*step)*margin_rate)</f>
        <v>13580.766500000002</v>
      </c>
      <c r="I798" s="37">
        <f t="shared" si="87"/>
        <v>6625</v>
      </c>
      <c r="J798" s="38">
        <f t="shared" si="88"/>
        <v>2024</v>
      </c>
      <c r="K798" s="128">
        <f>(1+target)^($J798-(MIN(tbl_rep_mon[year])))</f>
        <v>1.5208749999999995</v>
      </c>
      <c r="L798" s="35">
        <f t="shared" si="89"/>
        <v>0.42</v>
      </c>
      <c r="M798" s="37">
        <f t="shared" si="90"/>
        <v>16640.043000000001</v>
      </c>
    </row>
    <row r="799" spans="1:13" x14ac:dyDescent="0.4">
      <c r="A799" t="s">
        <v>38</v>
      </c>
      <c r="B799">
        <v>2</v>
      </c>
      <c r="C799" s="36">
        <v>90341.1</v>
      </c>
      <c r="D799" s="1">
        <v>45383</v>
      </c>
      <c r="E799" s="35">
        <f t="shared" si="84"/>
        <v>0.51</v>
      </c>
      <c r="F799" s="37">
        <f t="shared" si="85"/>
        <v>45170.55</v>
      </c>
      <c r="G799" s="37">
        <f t="shared" si="86"/>
        <v>23036.980500000001</v>
      </c>
      <c r="H799" s="36" cm="1">
        <f t="array" ref="H799">SUMPRODUCT((C799&gt;tier_floor)*((C799-tier_floor)*step)*margin_rate)</f>
        <v>16411.980500000001</v>
      </c>
      <c r="I799" s="37">
        <f t="shared" si="87"/>
        <v>6625</v>
      </c>
      <c r="J799" s="38">
        <f t="shared" si="88"/>
        <v>2024</v>
      </c>
      <c r="K799" s="128">
        <f>(1+target)^($J799-(MIN(tbl_rep_mon[year])))</f>
        <v>1.5208749999999995</v>
      </c>
      <c r="L799" s="35">
        <f t="shared" si="89"/>
        <v>0.42</v>
      </c>
      <c r="M799" s="37">
        <f t="shared" si="90"/>
        <v>18971.631000000001</v>
      </c>
    </row>
    <row r="800" spans="1:13" x14ac:dyDescent="0.4">
      <c r="A800" t="s">
        <v>39</v>
      </c>
      <c r="B800">
        <v>2</v>
      </c>
      <c r="C800" s="36">
        <v>94388.68</v>
      </c>
      <c r="D800" s="1">
        <v>45383</v>
      </c>
      <c r="E800" s="35">
        <f t="shared" si="84"/>
        <v>0.51</v>
      </c>
      <c r="F800" s="37">
        <f t="shared" si="85"/>
        <v>47194.34</v>
      </c>
      <c r="G800" s="37">
        <f t="shared" si="86"/>
        <v>24069.113399999998</v>
      </c>
      <c r="H800" s="36" cm="1">
        <f t="array" ref="H800">SUMPRODUCT((C800&gt;tier_floor)*((C800-tier_floor)*step)*margin_rate)</f>
        <v>17444.113399999998</v>
      </c>
      <c r="I800" s="37">
        <f t="shared" si="87"/>
        <v>6625</v>
      </c>
      <c r="J800" s="38">
        <f t="shared" si="88"/>
        <v>2024</v>
      </c>
      <c r="K800" s="128">
        <f>(1+target)^($J800-(MIN(tbl_rep_mon[year])))</f>
        <v>1.5208749999999995</v>
      </c>
      <c r="L800" s="35">
        <f t="shared" si="89"/>
        <v>0.42</v>
      </c>
      <c r="M800" s="37">
        <f t="shared" si="90"/>
        <v>19821.622799999997</v>
      </c>
    </row>
    <row r="801" spans="1:13" x14ac:dyDescent="0.4">
      <c r="A801" t="s">
        <v>40</v>
      </c>
      <c r="B801">
        <v>4</v>
      </c>
      <c r="C801" s="36">
        <v>75969.279999999999</v>
      </c>
      <c r="D801" s="1">
        <v>45383</v>
      </c>
      <c r="E801" s="35">
        <f t="shared" si="84"/>
        <v>0.51</v>
      </c>
      <c r="F801" s="37">
        <f t="shared" si="85"/>
        <v>37984.639999999999</v>
      </c>
      <c r="G801" s="37">
        <f t="shared" si="86"/>
        <v>19372.166399999998</v>
      </c>
      <c r="H801" s="36" cm="1">
        <f t="array" ref="H801">SUMPRODUCT((C801&gt;tier_floor)*((C801-tier_floor)*step)*margin_rate)</f>
        <v>12747.1664</v>
      </c>
      <c r="I801" s="37">
        <f t="shared" si="87"/>
        <v>6624.9999999999982</v>
      </c>
      <c r="J801" s="38">
        <f t="shared" si="88"/>
        <v>2024</v>
      </c>
      <c r="K801" s="128">
        <f>(1+target)^($J801-(MIN(tbl_rep_mon[year])))</f>
        <v>1.5208749999999995</v>
      </c>
      <c r="L801" s="35">
        <f t="shared" si="89"/>
        <v>0.33</v>
      </c>
      <c r="M801" s="37">
        <f t="shared" si="90"/>
        <v>12534.931200000001</v>
      </c>
    </row>
    <row r="802" spans="1:13" x14ac:dyDescent="0.4">
      <c r="A802" t="s">
        <v>6</v>
      </c>
      <c r="B802">
        <v>2</v>
      </c>
      <c r="C802" s="36">
        <v>69133.73</v>
      </c>
      <c r="D802" s="1">
        <v>45413</v>
      </c>
      <c r="E802" s="35">
        <f t="shared" si="84"/>
        <v>0.42</v>
      </c>
      <c r="F802" s="37">
        <f t="shared" si="85"/>
        <v>34566.864999999998</v>
      </c>
      <c r="G802" s="37">
        <f t="shared" si="86"/>
        <v>14518.083299999998</v>
      </c>
      <c r="H802" s="36" cm="1">
        <f t="array" ref="H802">SUMPRODUCT((C802&gt;tier_floor)*((C802-tier_floor)*step)*margin_rate)</f>
        <v>11268.0833</v>
      </c>
      <c r="I802" s="37">
        <f t="shared" si="87"/>
        <v>3249.9999999999982</v>
      </c>
      <c r="J802" s="38">
        <f t="shared" si="88"/>
        <v>2024</v>
      </c>
      <c r="K802" s="128">
        <f>(1+target)^($J802-(MIN(tbl_rep_mon[year])))</f>
        <v>1.5208749999999995</v>
      </c>
      <c r="L802" s="35">
        <f t="shared" si="89"/>
        <v>0.33</v>
      </c>
      <c r="M802" s="37">
        <f t="shared" si="90"/>
        <v>11407.06545</v>
      </c>
    </row>
    <row r="803" spans="1:13" x14ac:dyDescent="0.4">
      <c r="A803" t="s">
        <v>7</v>
      </c>
      <c r="B803">
        <v>4</v>
      </c>
      <c r="C803" s="36">
        <v>65050.34</v>
      </c>
      <c r="D803" s="1">
        <v>45413</v>
      </c>
      <c r="E803" s="35">
        <f t="shared" si="84"/>
        <v>0.42</v>
      </c>
      <c r="F803" s="37">
        <f t="shared" si="85"/>
        <v>32525.17</v>
      </c>
      <c r="G803" s="37">
        <f t="shared" si="86"/>
        <v>13660.571399999999</v>
      </c>
      <c r="H803" s="36" cm="1">
        <f t="array" ref="H803">SUMPRODUCT((C803&gt;tier_floor)*((C803-tier_floor)*step)*margin_rate)</f>
        <v>10410.571399999999</v>
      </c>
      <c r="I803" s="37">
        <f t="shared" si="87"/>
        <v>3250</v>
      </c>
      <c r="J803" s="38">
        <f t="shared" si="88"/>
        <v>2024</v>
      </c>
      <c r="K803" s="128">
        <f>(1+target)^($J803-(MIN(tbl_rep_mon[year])))</f>
        <v>1.5208749999999995</v>
      </c>
      <c r="L803" s="35">
        <f t="shared" si="89"/>
        <v>0.33</v>
      </c>
      <c r="M803" s="37">
        <f t="shared" si="90"/>
        <v>10733.3061</v>
      </c>
    </row>
    <row r="804" spans="1:13" x14ac:dyDescent="0.4">
      <c r="A804" t="s">
        <v>8</v>
      </c>
      <c r="B804">
        <v>4</v>
      </c>
      <c r="C804" s="36">
        <v>88715.85</v>
      </c>
      <c r="D804" s="1">
        <v>45413</v>
      </c>
      <c r="E804" s="35">
        <f t="shared" si="84"/>
        <v>0.51</v>
      </c>
      <c r="F804" s="37">
        <f t="shared" si="85"/>
        <v>44357.925000000003</v>
      </c>
      <c r="G804" s="37">
        <f t="shared" si="86"/>
        <v>22622.54175</v>
      </c>
      <c r="H804" s="36" cm="1">
        <f t="array" ref="H804">SUMPRODUCT((C804&gt;tier_floor)*((C804-tier_floor)*step)*margin_rate)</f>
        <v>15997.541750000002</v>
      </c>
      <c r="I804" s="37">
        <f t="shared" si="87"/>
        <v>6624.9999999999982</v>
      </c>
      <c r="J804" s="38">
        <f t="shared" si="88"/>
        <v>2024</v>
      </c>
      <c r="K804" s="128">
        <f>(1+target)^($J804-(MIN(tbl_rep_mon[year])))</f>
        <v>1.5208749999999995</v>
      </c>
      <c r="L804" s="35">
        <f t="shared" si="89"/>
        <v>0.42</v>
      </c>
      <c r="M804" s="37">
        <f t="shared" si="90"/>
        <v>18630.3285</v>
      </c>
    </row>
    <row r="805" spans="1:13" x14ac:dyDescent="0.4">
      <c r="A805" t="s">
        <v>15</v>
      </c>
      <c r="B805">
        <v>3</v>
      </c>
      <c r="C805" s="36">
        <v>110923.61</v>
      </c>
      <c r="D805" s="1">
        <v>45413</v>
      </c>
      <c r="E805" s="35">
        <f t="shared" si="84"/>
        <v>0.6</v>
      </c>
      <c r="F805" s="37">
        <f t="shared" si="85"/>
        <v>55461.805</v>
      </c>
      <c r="G805" s="37">
        <f t="shared" si="86"/>
        <v>33277.082999999999</v>
      </c>
      <c r="H805" s="36" cm="1">
        <f t="array" ref="H805">SUMPRODUCT((C805&gt;tier_floor)*((C805-tier_floor)*step)*margin_rate)</f>
        <v>22152.083000000002</v>
      </c>
      <c r="I805" s="37">
        <f t="shared" si="87"/>
        <v>11124.999999999996</v>
      </c>
      <c r="J805" s="38">
        <f t="shared" si="88"/>
        <v>2024</v>
      </c>
      <c r="K805" s="128">
        <f>(1+target)^($J805-(MIN(tbl_rep_mon[year])))</f>
        <v>1.5208749999999995</v>
      </c>
      <c r="L805" s="35">
        <f t="shared" si="89"/>
        <v>0.42</v>
      </c>
      <c r="M805" s="37">
        <f t="shared" si="90"/>
        <v>23293.9581</v>
      </c>
    </row>
    <row r="806" spans="1:13" x14ac:dyDescent="0.4">
      <c r="A806" t="s">
        <v>16</v>
      </c>
      <c r="B806">
        <v>3</v>
      </c>
      <c r="C806" s="36">
        <v>101620.18</v>
      </c>
      <c r="D806" s="1">
        <v>45413</v>
      </c>
      <c r="E806" s="35">
        <f t="shared" si="84"/>
        <v>0.6</v>
      </c>
      <c r="F806" s="37">
        <f t="shared" si="85"/>
        <v>50810.09</v>
      </c>
      <c r="G806" s="37">
        <f t="shared" si="86"/>
        <v>30486.053999999996</v>
      </c>
      <c r="H806" s="36" cm="1">
        <f t="array" ref="H806">SUMPRODUCT((C806&gt;tier_floor)*((C806-tier_floor)*step)*margin_rate)</f>
        <v>19361.053999999996</v>
      </c>
      <c r="I806" s="37">
        <f t="shared" si="87"/>
        <v>11125</v>
      </c>
      <c r="J806" s="38">
        <f t="shared" si="88"/>
        <v>2024</v>
      </c>
      <c r="K806" s="128">
        <f>(1+target)^($J806-(MIN(tbl_rep_mon[year])))</f>
        <v>1.5208749999999995</v>
      </c>
      <c r="L806" s="35">
        <f t="shared" si="89"/>
        <v>0.42</v>
      </c>
      <c r="M806" s="37">
        <f t="shared" si="90"/>
        <v>21340.237799999999</v>
      </c>
    </row>
    <row r="807" spans="1:13" x14ac:dyDescent="0.4">
      <c r="A807" t="s">
        <v>18</v>
      </c>
      <c r="B807">
        <v>3</v>
      </c>
      <c r="C807" s="36">
        <v>89234.3</v>
      </c>
      <c r="D807" s="1">
        <v>45413</v>
      </c>
      <c r="E807" s="35">
        <f t="shared" si="84"/>
        <v>0.51</v>
      </c>
      <c r="F807" s="37">
        <f t="shared" si="85"/>
        <v>44617.15</v>
      </c>
      <c r="G807" s="37">
        <f t="shared" si="86"/>
        <v>22754.746500000001</v>
      </c>
      <c r="H807" s="36" cm="1">
        <f t="array" ref="H807">SUMPRODUCT((C807&gt;tier_floor)*((C807-tier_floor)*step)*margin_rate)</f>
        <v>16129.746500000001</v>
      </c>
      <c r="I807" s="37">
        <f t="shared" si="87"/>
        <v>6625</v>
      </c>
      <c r="J807" s="38">
        <f t="shared" si="88"/>
        <v>2024</v>
      </c>
      <c r="K807" s="128">
        <f>(1+target)^($J807-(MIN(tbl_rep_mon[year])))</f>
        <v>1.5208749999999995</v>
      </c>
      <c r="L807" s="35">
        <f t="shared" si="89"/>
        <v>0.42</v>
      </c>
      <c r="M807" s="37">
        <f t="shared" si="90"/>
        <v>18739.203000000001</v>
      </c>
    </row>
    <row r="808" spans="1:13" x14ac:dyDescent="0.4">
      <c r="A808" t="s">
        <v>19</v>
      </c>
      <c r="B808">
        <v>4</v>
      </c>
      <c r="C808" s="36">
        <v>76964.179999999993</v>
      </c>
      <c r="D808" s="1">
        <v>45413</v>
      </c>
      <c r="E808" s="35">
        <f t="shared" si="84"/>
        <v>0.51</v>
      </c>
      <c r="F808" s="37">
        <f t="shared" si="85"/>
        <v>38482.089999999997</v>
      </c>
      <c r="G808" s="37">
        <f t="shared" si="86"/>
        <v>19625.865899999997</v>
      </c>
      <c r="H808" s="36" cm="1">
        <f t="array" ref="H808">SUMPRODUCT((C808&gt;tier_floor)*((C808-tier_floor)*step)*margin_rate)</f>
        <v>13000.865899999997</v>
      </c>
      <c r="I808" s="37">
        <f t="shared" si="87"/>
        <v>6625</v>
      </c>
      <c r="J808" s="38">
        <f t="shared" si="88"/>
        <v>2024</v>
      </c>
      <c r="K808" s="128">
        <f>(1+target)^($J808-(MIN(tbl_rep_mon[year])))</f>
        <v>1.5208749999999995</v>
      </c>
      <c r="L808" s="35">
        <f t="shared" si="89"/>
        <v>0.42</v>
      </c>
      <c r="M808" s="37">
        <f t="shared" si="90"/>
        <v>16162.477799999999</v>
      </c>
    </row>
    <row r="809" spans="1:13" x14ac:dyDescent="0.4">
      <c r="A809" t="s">
        <v>23</v>
      </c>
      <c r="B809">
        <v>1</v>
      </c>
      <c r="C809" s="36">
        <v>187018.91</v>
      </c>
      <c r="D809" s="1">
        <v>45413</v>
      </c>
      <c r="E809" s="35">
        <f t="shared" si="84"/>
        <v>0.6</v>
      </c>
      <c r="F809" s="37">
        <f t="shared" si="85"/>
        <v>93509.455000000002</v>
      </c>
      <c r="G809" s="37">
        <f t="shared" si="86"/>
        <v>56105.673000000003</v>
      </c>
      <c r="H809" s="36" cm="1">
        <f t="array" ref="H809">SUMPRODUCT((C809&gt;tier_floor)*((C809-tier_floor)*step)*margin_rate)</f>
        <v>44980.673000000003</v>
      </c>
      <c r="I809" s="37">
        <f t="shared" si="87"/>
        <v>11125</v>
      </c>
      <c r="J809" s="38">
        <f t="shared" si="88"/>
        <v>2024</v>
      </c>
      <c r="K809" s="128">
        <f>(1+target)^($J809-(MIN(tbl_rep_mon[year])))</f>
        <v>1.5208749999999995</v>
      </c>
      <c r="L809" s="35">
        <f t="shared" si="89"/>
        <v>0.6</v>
      </c>
      <c r="M809" s="37">
        <f t="shared" si="90"/>
        <v>56105.673000000003</v>
      </c>
    </row>
    <row r="810" spans="1:13" x14ac:dyDescent="0.4">
      <c r="A810" t="s">
        <v>24</v>
      </c>
      <c r="B810">
        <v>3</v>
      </c>
      <c r="C810" s="36">
        <v>65174</v>
      </c>
      <c r="D810" s="1">
        <v>45413</v>
      </c>
      <c r="E810" s="35">
        <f t="shared" si="84"/>
        <v>0.42</v>
      </c>
      <c r="F810" s="37">
        <f t="shared" si="85"/>
        <v>32587</v>
      </c>
      <c r="G810" s="37">
        <f t="shared" si="86"/>
        <v>13686.539999999999</v>
      </c>
      <c r="H810" s="36" cm="1">
        <f t="array" ref="H810">SUMPRODUCT((C810&gt;tier_floor)*((C810-tier_floor)*step)*margin_rate)</f>
        <v>10436.540000000001</v>
      </c>
      <c r="I810" s="37">
        <f t="shared" si="87"/>
        <v>3249.9999999999982</v>
      </c>
      <c r="J810" s="38">
        <f t="shared" si="88"/>
        <v>2024</v>
      </c>
      <c r="K810" s="128">
        <f>(1+target)^($J810-(MIN(tbl_rep_mon[year])))</f>
        <v>1.5208749999999995</v>
      </c>
      <c r="L810" s="35">
        <f t="shared" si="89"/>
        <v>0.33</v>
      </c>
      <c r="M810" s="37">
        <f t="shared" si="90"/>
        <v>10753.710000000001</v>
      </c>
    </row>
    <row r="811" spans="1:13" x14ac:dyDescent="0.4">
      <c r="A811" t="s">
        <v>25</v>
      </c>
      <c r="B811">
        <v>2</v>
      </c>
      <c r="C811" s="36">
        <v>98328.01</v>
      </c>
      <c r="D811" s="1">
        <v>45413</v>
      </c>
      <c r="E811" s="35">
        <f t="shared" si="84"/>
        <v>0.51</v>
      </c>
      <c r="F811" s="37">
        <f t="shared" si="85"/>
        <v>49164.004999999997</v>
      </c>
      <c r="G811" s="37">
        <f t="shared" si="86"/>
        <v>25073.64255</v>
      </c>
      <c r="H811" s="36" cm="1">
        <f t="array" ref="H811">SUMPRODUCT((C811&gt;tier_floor)*((C811-tier_floor)*step)*margin_rate)</f>
        <v>18448.64255</v>
      </c>
      <c r="I811" s="37">
        <f t="shared" si="87"/>
        <v>6625</v>
      </c>
      <c r="J811" s="38">
        <f t="shared" si="88"/>
        <v>2024</v>
      </c>
      <c r="K811" s="128">
        <f>(1+target)^($J811-(MIN(tbl_rep_mon[year])))</f>
        <v>1.5208749999999995</v>
      </c>
      <c r="L811" s="35">
        <f t="shared" si="89"/>
        <v>0.42</v>
      </c>
      <c r="M811" s="37">
        <f t="shared" si="90"/>
        <v>20648.882099999999</v>
      </c>
    </row>
    <row r="812" spans="1:13" x14ac:dyDescent="0.4">
      <c r="A812" t="s">
        <v>26</v>
      </c>
      <c r="B812">
        <v>2</v>
      </c>
      <c r="C812" s="36">
        <v>86948</v>
      </c>
      <c r="D812" s="1">
        <v>45413</v>
      </c>
      <c r="E812" s="35">
        <f t="shared" si="84"/>
        <v>0.51</v>
      </c>
      <c r="F812" s="37">
        <f t="shared" si="85"/>
        <v>43474</v>
      </c>
      <c r="G812" s="37">
        <f t="shared" si="86"/>
        <v>22171.74</v>
      </c>
      <c r="H812" s="36" cm="1">
        <f t="array" ref="H812">SUMPRODUCT((C812&gt;tier_floor)*((C812-tier_floor)*step)*margin_rate)</f>
        <v>15546.74</v>
      </c>
      <c r="I812" s="37">
        <f t="shared" si="87"/>
        <v>6625.0000000000018</v>
      </c>
      <c r="J812" s="38">
        <f t="shared" si="88"/>
        <v>2024</v>
      </c>
      <c r="K812" s="128">
        <f>(1+target)^($J812-(MIN(tbl_rep_mon[year])))</f>
        <v>1.5208749999999995</v>
      </c>
      <c r="L812" s="35">
        <f t="shared" si="89"/>
        <v>0.42</v>
      </c>
      <c r="M812" s="37">
        <f t="shared" si="90"/>
        <v>18259.079999999998</v>
      </c>
    </row>
    <row r="813" spans="1:13" x14ac:dyDescent="0.4">
      <c r="A813" t="s">
        <v>29</v>
      </c>
      <c r="B813">
        <v>1</v>
      </c>
      <c r="C813" s="36">
        <v>109444.51</v>
      </c>
      <c r="D813" s="1">
        <v>45413</v>
      </c>
      <c r="E813" s="35">
        <f t="shared" si="84"/>
        <v>0.6</v>
      </c>
      <c r="F813" s="37">
        <f t="shared" si="85"/>
        <v>54722.254999999997</v>
      </c>
      <c r="G813" s="37">
        <f t="shared" si="86"/>
        <v>32833.352999999996</v>
      </c>
      <c r="H813" s="36" cm="1">
        <f t="array" ref="H813">SUMPRODUCT((C813&gt;tier_floor)*((C813-tier_floor)*step)*margin_rate)</f>
        <v>21708.352999999999</v>
      </c>
      <c r="I813" s="37">
        <f t="shared" si="87"/>
        <v>11124.999999999996</v>
      </c>
      <c r="J813" s="38">
        <f t="shared" si="88"/>
        <v>2024</v>
      </c>
      <c r="K813" s="128">
        <f>(1+target)^($J813-(MIN(tbl_rep_mon[year])))</f>
        <v>1.5208749999999995</v>
      </c>
      <c r="L813" s="35">
        <f t="shared" si="89"/>
        <v>0.42</v>
      </c>
      <c r="M813" s="37">
        <f t="shared" si="90"/>
        <v>22983.347099999999</v>
      </c>
    </row>
    <row r="814" spans="1:13" x14ac:dyDescent="0.4">
      <c r="A814" t="s">
        <v>32</v>
      </c>
      <c r="B814">
        <v>4</v>
      </c>
      <c r="C814" s="36">
        <v>92636.17</v>
      </c>
      <c r="D814" s="1">
        <v>45413</v>
      </c>
      <c r="E814" s="35">
        <f t="shared" si="84"/>
        <v>0.51</v>
      </c>
      <c r="F814" s="37">
        <f t="shared" si="85"/>
        <v>46318.084999999999</v>
      </c>
      <c r="G814" s="37">
        <f t="shared" si="86"/>
        <v>23622.22335</v>
      </c>
      <c r="H814" s="36" cm="1">
        <f t="array" ref="H814">SUMPRODUCT((C814&gt;tier_floor)*((C814-tier_floor)*step)*margin_rate)</f>
        <v>16997.223349999997</v>
      </c>
      <c r="I814" s="37">
        <f t="shared" si="87"/>
        <v>6625.0000000000036</v>
      </c>
      <c r="J814" s="38">
        <f t="shared" si="88"/>
        <v>2024</v>
      </c>
      <c r="K814" s="128">
        <f>(1+target)^($J814-(MIN(tbl_rep_mon[year])))</f>
        <v>1.5208749999999995</v>
      </c>
      <c r="L814" s="35">
        <f t="shared" si="89"/>
        <v>0.42</v>
      </c>
      <c r="M814" s="37">
        <f t="shared" si="90"/>
        <v>19453.595699999998</v>
      </c>
    </row>
    <row r="815" spans="1:13" x14ac:dyDescent="0.4">
      <c r="A815" t="s">
        <v>33</v>
      </c>
      <c r="B815">
        <v>3</v>
      </c>
      <c r="C815" s="36">
        <v>76586.2</v>
      </c>
      <c r="D815" s="1">
        <v>45413</v>
      </c>
      <c r="E815" s="35">
        <f t="shared" si="84"/>
        <v>0.51</v>
      </c>
      <c r="F815" s="37">
        <f t="shared" si="85"/>
        <v>38293.1</v>
      </c>
      <c r="G815" s="37">
        <f t="shared" si="86"/>
        <v>19529.481</v>
      </c>
      <c r="H815" s="36" cm="1">
        <f t="array" ref="H815">SUMPRODUCT((C815&gt;tier_floor)*((C815-tier_floor)*step)*margin_rate)</f>
        <v>12904.480999999998</v>
      </c>
      <c r="I815" s="37">
        <f t="shared" si="87"/>
        <v>6625.0000000000018</v>
      </c>
      <c r="J815" s="38">
        <f t="shared" si="88"/>
        <v>2024</v>
      </c>
      <c r="K815" s="128">
        <f>(1+target)^($J815-(MIN(tbl_rep_mon[year])))</f>
        <v>1.5208749999999995</v>
      </c>
      <c r="L815" s="35">
        <f t="shared" si="89"/>
        <v>0.42</v>
      </c>
      <c r="M815" s="37">
        <f t="shared" si="90"/>
        <v>16083.101999999999</v>
      </c>
    </row>
    <row r="816" spans="1:13" x14ac:dyDescent="0.4">
      <c r="A816" t="s">
        <v>34</v>
      </c>
      <c r="B816">
        <v>4</v>
      </c>
      <c r="C816" s="36">
        <v>82040.13</v>
      </c>
      <c r="D816" s="1">
        <v>45413</v>
      </c>
      <c r="E816" s="35">
        <f t="shared" si="84"/>
        <v>0.51</v>
      </c>
      <c r="F816" s="37">
        <f t="shared" si="85"/>
        <v>41020.065000000002</v>
      </c>
      <c r="G816" s="37">
        <f t="shared" si="86"/>
        <v>20920.23315</v>
      </c>
      <c r="H816" s="36" cm="1">
        <f t="array" ref="H816">SUMPRODUCT((C816&gt;tier_floor)*((C816-tier_floor)*step)*margin_rate)</f>
        <v>14295.23315</v>
      </c>
      <c r="I816" s="37">
        <f t="shared" si="87"/>
        <v>6625</v>
      </c>
      <c r="J816" s="38">
        <f t="shared" si="88"/>
        <v>2024</v>
      </c>
      <c r="K816" s="128">
        <f>(1+target)^($J816-(MIN(tbl_rep_mon[year])))</f>
        <v>1.5208749999999995</v>
      </c>
      <c r="L816" s="35">
        <f t="shared" si="89"/>
        <v>0.42</v>
      </c>
      <c r="M816" s="37">
        <f t="shared" si="90"/>
        <v>17228.427299999999</v>
      </c>
    </row>
    <row r="817" spans="1:13" x14ac:dyDescent="0.4">
      <c r="A817" t="s">
        <v>35</v>
      </c>
      <c r="B817">
        <v>4</v>
      </c>
      <c r="C817" s="36">
        <v>57451.9</v>
      </c>
      <c r="D817" s="1">
        <v>45413</v>
      </c>
      <c r="E817" s="35">
        <f t="shared" si="84"/>
        <v>0.42</v>
      </c>
      <c r="F817" s="37">
        <f t="shared" si="85"/>
        <v>28725.95</v>
      </c>
      <c r="G817" s="37">
        <f t="shared" si="86"/>
        <v>12064.898999999999</v>
      </c>
      <c r="H817" s="36" cm="1">
        <f t="array" ref="H817">SUMPRODUCT((C817&gt;tier_floor)*((C817-tier_floor)*step)*margin_rate)</f>
        <v>8814.8989999999994</v>
      </c>
      <c r="I817" s="37">
        <f t="shared" si="87"/>
        <v>3250</v>
      </c>
      <c r="J817" s="38">
        <f t="shared" si="88"/>
        <v>2024</v>
      </c>
      <c r="K817" s="128">
        <f>(1+target)^($J817-(MIN(tbl_rep_mon[year])))</f>
        <v>1.5208749999999995</v>
      </c>
      <c r="L817" s="35">
        <f t="shared" si="89"/>
        <v>0.33</v>
      </c>
      <c r="M817" s="37">
        <f t="shared" si="90"/>
        <v>9479.5635000000002</v>
      </c>
    </row>
    <row r="818" spans="1:13" x14ac:dyDescent="0.4">
      <c r="A818" t="s">
        <v>37</v>
      </c>
      <c r="B818">
        <v>4</v>
      </c>
      <c r="C818" s="36">
        <v>69466.559999999998</v>
      </c>
      <c r="D818" s="1">
        <v>45413</v>
      </c>
      <c r="E818" s="35">
        <f t="shared" si="84"/>
        <v>0.42</v>
      </c>
      <c r="F818" s="37">
        <f t="shared" si="85"/>
        <v>34733.279999999999</v>
      </c>
      <c r="G818" s="37">
        <f t="shared" si="86"/>
        <v>14587.977599999998</v>
      </c>
      <c r="H818" s="36" cm="1">
        <f t="array" ref="H818">SUMPRODUCT((C818&gt;tier_floor)*((C818-tier_floor)*step)*margin_rate)</f>
        <v>11337.9776</v>
      </c>
      <c r="I818" s="37">
        <f t="shared" si="87"/>
        <v>3249.9999999999982</v>
      </c>
      <c r="J818" s="38">
        <f t="shared" si="88"/>
        <v>2024</v>
      </c>
      <c r="K818" s="128">
        <f>(1+target)^($J818-(MIN(tbl_rep_mon[year])))</f>
        <v>1.5208749999999995</v>
      </c>
      <c r="L818" s="35">
        <f t="shared" si="89"/>
        <v>0.33</v>
      </c>
      <c r="M818" s="37">
        <f t="shared" si="90"/>
        <v>11461.982400000001</v>
      </c>
    </row>
    <row r="819" spans="1:13" x14ac:dyDescent="0.4">
      <c r="A819" t="s">
        <v>38</v>
      </c>
      <c r="B819">
        <v>2</v>
      </c>
      <c r="C819" s="36">
        <v>106005.59</v>
      </c>
      <c r="D819" s="1">
        <v>45413</v>
      </c>
      <c r="E819" s="35">
        <f t="shared" si="84"/>
        <v>0.6</v>
      </c>
      <c r="F819" s="37">
        <f t="shared" si="85"/>
        <v>53002.794999999998</v>
      </c>
      <c r="G819" s="37">
        <f t="shared" si="86"/>
        <v>31801.676999999996</v>
      </c>
      <c r="H819" s="36" cm="1">
        <f t="array" ref="H819">SUMPRODUCT((C819&gt;tier_floor)*((C819-tier_floor)*step)*margin_rate)</f>
        <v>20676.677000000003</v>
      </c>
      <c r="I819" s="37">
        <f t="shared" si="87"/>
        <v>11124.999999999993</v>
      </c>
      <c r="J819" s="38">
        <f t="shared" si="88"/>
        <v>2024</v>
      </c>
      <c r="K819" s="128">
        <f>(1+target)^($J819-(MIN(tbl_rep_mon[year])))</f>
        <v>1.5208749999999995</v>
      </c>
      <c r="L819" s="35">
        <f t="shared" si="89"/>
        <v>0.42</v>
      </c>
      <c r="M819" s="37">
        <f t="shared" si="90"/>
        <v>22261.173899999998</v>
      </c>
    </row>
    <row r="820" spans="1:13" x14ac:dyDescent="0.4">
      <c r="A820" t="s">
        <v>39</v>
      </c>
      <c r="B820">
        <v>2</v>
      </c>
      <c r="C820" s="36">
        <v>74173.570000000007</v>
      </c>
      <c r="D820" s="1">
        <v>45413</v>
      </c>
      <c r="E820" s="35">
        <f t="shared" si="84"/>
        <v>0.42</v>
      </c>
      <c r="F820" s="37">
        <f t="shared" si="85"/>
        <v>37086.785000000003</v>
      </c>
      <c r="G820" s="37">
        <f t="shared" si="86"/>
        <v>15576.449700000001</v>
      </c>
      <c r="H820" s="36" cm="1">
        <f t="array" ref="H820">SUMPRODUCT((C820&gt;tier_floor)*((C820-tier_floor)*step)*margin_rate)</f>
        <v>12326.449700000001</v>
      </c>
      <c r="I820" s="37">
        <f t="shared" si="87"/>
        <v>3250</v>
      </c>
      <c r="J820" s="38">
        <f t="shared" si="88"/>
        <v>2024</v>
      </c>
      <c r="K820" s="128">
        <f>(1+target)^($J820-(MIN(tbl_rep_mon[year])))</f>
        <v>1.5208749999999995</v>
      </c>
      <c r="L820" s="35">
        <f t="shared" si="89"/>
        <v>0.33</v>
      </c>
      <c r="M820" s="37">
        <f t="shared" si="90"/>
        <v>12238.639050000002</v>
      </c>
    </row>
    <row r="821" spans="1:13" x14ac:dyDescent="0.4">
      <c r="A821" t="s">
        <v>40</v>
      </c>
      <c r="B821">
        <v>4</v>
      </c>
      <c r="C821" s="36">
        <v>60483.75</v>
      </c>
      <c r="D821" s="1">
        <v>45413</v>
      </c>
      <c r="E821" s="35">
        <f t="shared" si="84"/>
        <v>0.42</v>
      </c>
      <c r="F821" s="37">
        <f t="shared" si="85"/>
        <v>30241.875</v>
      </c>
      <c r="G821" s="37">
        <f t="shared" si="86"/>
        <v>12701.5875</v>
      </c>
      <c r="H821" s="36" cm="1">
        <f t="array" ref="H821">SUMPRODUCT((C821&gt;tier_floor)*((C821-tier_floor)*step)*margin_rate)</f>
        <v>9451.5874999999996</v>
      </c>
      <c r="I821" s="37">
        <f t="shared" si="87"/>
        <v>3250</v>
      </c>
      <c r="J821" s="38">
        <f t="shared" si="88"/>
        <v>2024</v>
      </c>
      <c r="K821" s="128">
        <f>(1+target)^($J821-(MIN(tbl_rep_mon[year])))</f>
        <v>1.5208749999999995</v>
      </c>
      <c r="L821" s="35">
        <f t="shared" si="89"/>
        <v>0.33</v>
      </c>
      <c r="M821" s="37">
        <f t="shared" si="90"/>
        <v>9979.8187500000004</v>
      </c>
    </row>
    <row r="822" spans="1:13" x14ac:dyDescent="0.4">
      <c r="A822" t="s">
        <v>6</v>
      </c>
      <c r="B822">
        <v>2</v>
      </c>
      <c r="C822" s="36">
        <v>92906.12</v>
      </c>
      <c r="D822" s="1">
        <v>45444</v>
      </c>
      <c r="E822" s="35">
        <f t="shared" si="84"/>
        <v>0.51</v>
      </c>
      <c r="F822" s="37">
        <f t="shared" si="85"/>
        <v>46453.06</v>
      </c>
      <c r="G822" s="37">
        <f t="shared" si="86"/>
        <v>23691.060600000001</v>
      </c>
      <c r="H822" s="36" cm="1">
        <f t="array" ref="H822">SUMPRODUCT((C822&gt;tier_floor)*((C822-tier_floor)*step)*margin_rate)</f>
        <v>17066.060599999997</v>
      </c>
      <c r="I822" s="37">
        <f t="shared" si="87"/>
        <v>6625.0000000000036</v>
      </c>
      <c r="J822" s="38">
        <f t="shared" si="88"/>
        <v>2024</v>
      </c>
      <c r="K822" s="128">
        <f>(1+target)^($J822-(MIN(tbl_rep_mon[year])))</f>
        <v>1.5208749999999995</v>
      </c>
      <c r="L822" s="35">
        <f t="shared" si="89"/>
        <v>0.42</v>
      </c>
      <c r="M822" s="37">
        <f t="shared" si="90"/>
        <v>19510.285199999998</v>
      </c>
    </row>
    <row r="823" spans="1:13" x14ac:dyDescent="0.4">
      <c r="A823" t="s">
        <v>7</v>
      </c>
      <c r="B823">
        <v>4</v>
      </c>
      <c r="C823" s="36">
        <v>71705.37</v>
      </c>
      <c r="D823" s="1">
        <v>45444</v>
      </c>
      <c r="E823" s="35">
        <f t="shared" si="84"/>
        <v>0.42</v>
      </c>
      <c r="F823" s="37">
        <f t="shared" si="85"/>
        <v>35852.684999999998</v>
      </c>
      <c r="G823" s="37">
        <f t="shared" si="86"/>
        <v>15058.127699999999</v>
      </c>
      <c r="H823" s="36" cm="1">
        <f t="array" ref="H823">SUMPRODUCT((C823&gt;tier_floor)*((C823-tier_floor)*step)*margin_rate)</f>
        <v>11808.127699999999</v>
      </c>
      <c r="I823" s="37">
        <f t="shared" si="87"/>
        <v>3250</v>
      </c>
      <c r="J823" s="38">
        <f t="shared" si="88"/>
        <v>2024</v>
      </c>
      <c r="K823" s="128">
        <f>(1+target)^($J823-(MIN(tbl_rep_mon[year])))</f>
        <v>1.5208749999999995</v>
      </c>
      <c r="L823" s="35">
        <f t="shared" si="89"/>
        <v>0.33</v>
      </c>
      <c r="M823" s="37">
        <f t="shared" si="90"/>
        <v>11831.386049999999</v>
      </c>
    </row>
    <row r="824" spans="1:13" x14ac:dyDescent="0.4">
      <c r="A824" t="s">
        <v>8</v>
      </c>
      <c r="B824">
        <v>4</v>
      </c>
      <c r="C824" s="36">
        <v>68025.070000000007</v>
      </c>
      <c r="D824" s="1">
        <v>45444</v>
      </c>
      <c r="E824" s="35">
        <f t="shared" si="84"/>
        <v>0.42</v>
      </c>
      <c r="F824" s="37">
        <f t="shared" si="85"/>
        <v>34012.535000000003</v>
      </c>
      <c r="G824" s="37">
        <f t="shared" si="86"/>
        <v>14285.264700000002</v>
      </c>
      <c r="H824" s="36" cm="1">
        <f t="array" ref="H824">SUMPRODUCT((C824&gt;tier_floor)*((C824-tier_floor)*step)*margin_rate)</f>
        <v>11035.264700000002</v>
      </c>
      <c r="I824" s="37">
        <f t="shared" si="87"/>
        <v>3250</v>
      </c>
      <c r="J824" s="38">
        <f t="shared" si="88"/>
        <v>2024</v>
      </c>
      <c r="K824" s="128">
        <f>(1+target)^($J824-(MIN(tbl_rep_mon[year])))</f>
        <v>1.5208749999999995</v>
      </c>
      <c r="L824" s="35">
        <f t="shared" si="89"/>
        <v>0.33</v>
      </c>
      <c r="M824" s="37">
        <f t="shared" si="90"/>
        <v>11224.136550000001</v>
      </c>
    </row>
    <row r="825" spans="1:13" x14ac:dyDescent="0.4">
      <c r="A825" t="s">
        <v>15</v>
      </c>
      <c r="B825">
        <v>3</v>
      </c>
      <c r="C825" s="36">
        <v>97907.49</v>
      </c>
      <c r="D825" s="1">
        <v>45444</v>
      </c>
      <c r="E825" s="35">
        <f t="shared" si="84"/>
        <v>0.51</v>
      </c>
      <c r="F825" s="37">
        <f t="shared" si="85"/>
        <v>48953.745000000003</v>
      </c>
      <c r="G825" s="37">
        <f t="shared" si="86"/>
        <v>24966.409950000001</v>
      </c>
      <c r="H825" s="36" cm="1">
        <f t="array" ref="H825">SUMPRODUCT((C825&gt;tier_floor)*((C825-tier_floor)*step)*margin_rate)</f>
        <v>18341.409950000001</v>
      </c>
      <c r="I825" s="37">
        <f t="shared" si="87"/>
        <v>6625</v>
      </c>
      <c r="J825" s="38">
        <f t="shared" si="88"/>
        <v>2024</v>
      </c>
      <c r="K825" s="128">
        <f>(1+target)^($J825-(MIN(tbl_rep_mon[year])))</f>
        <v>1.5208749999999995</v>
      </c>
      <c r="L825" s="35">
        <f t="shared" si="89"/>
        <v>0.42</v>
      </c>
      <c r="M825" s="37">
        <f t="shared" si="90"/>
        <v>20560.572899999999</v>
      </c>
    </row>
    <row r="826" spans="1:13" x14ac:dyDescent="0.4">
      <c r="A826" t="s">
        <v>16</v>
      </c>
      <c r="B826">
        <v>3</v>
      </c>
      <c r="C826" s="36">
        <v>99908.23</v>
      </c>
      <c r="D826" s="1">
        <v>45444</v>
      </c>
      <c r="E826" s="35">
        <f t="shared" si="84"/>
        <v>0.51</v>
      </c>
      <c r="F826" s="37">
        <f t="shared" si="85"/>
        <v>49954.114999999998</v>
      </c>
      <c r="G826" s="37">
        <f t="shared" si="86"/>
        <v>25476.59865</v>
      </c>
      <c r="H826" s="36" cm="1">
        <f t="array" ref="H826">SUMPRODUCT((C826&gt;tier_floor)*((C826-tier_floor)*step)*margin_rate)</f>
        <v>18851.59865</v>
      </c>
      <c r="I826" s="37">
        <f t="shared" si="87"/>
        <v>6625</v>
      </c>
      <c r="J826" s="38">
        <f t="shared" si="88"/>
        <v>2024</v>
      </c>
      <c r="K826" s="128">
        <f>(1+target)^($J826-(MIN(tbl_rep_mon[year])))</f>
        <v>1.5208749999999995</v>
      </c>
      <c r="L826" s="35">
        <f t="shared" si="89"/>
        <v>0.42</v>
      </c>
      <c r="M826" s="37">
        <f t="shared" si="90"/>
        <v>20980.728299999999</v>
      </c>
    </row>
    <row r="827" spans="1:13" x14ac:dyDescent="0.4">
      <c r="A827" t="s">
        <v>18</v>
      </c>
      <c r="B827">
        <v>3</v>
      </c>
      <c r="C827" s="36">
        <v>101610.98</v>
      </c>
      <c r="D827" s="1">
        <v>45444</v>
      </c>
      <c r="E827" s="35">
        <f t="shared" si="84"/>
        <v>0.6</v>
      </c>
      <c r="F827" s="37">
        <f t="shared" si="85"/>
        <v>50805.49</v>
      </c>
      <c r="G827" s="37">
        <f t="shared" si="86"/>
        <v>30483.293999999998</v>
      </c>
      <c r="H827" s="36" cm="1">
        <f t="array" ref="H827">SUMPRODUCT((C827&gt;tier_floor)*((C827-tier_floor)*step)*margin_rate)</f>
        <v>19358.293999999998</v>
      </c>
      <c r="I827" s="37">
        <f t="shared" si="87"/>
        <v>11125</v>
      </c>
      <c r="J827" s="38">
        <f t="shared" si="88"/>
        <v>2024</v>
      </c>
      <c r="K827" s="128">
        <f>(1+target)^($J827-(MIN(tbl_rep_mon[year])))</f>
        <v>1.5208749999999995</v>
      </c>
      <c r="L827" s="35">
        <f t="shared" si="89"/>
        <v>0.42</v>
      </c>
      <c r="M827" s="37">
        <f t="shared" si="90"/>
        <v>21338.305799999998</v>
      </c>
    </row>
    <row r="828" spans="1:13" x14ac:dyDescent="0.4">
      <c r="A828" t="s">
        <v>19</v>
      </c>
      <c r="B828">
        <v>4</v>
      </c>
      <c r="C828" s="36">
        <v>67763.02</v>
      </c>
      <c r="D828" s="1">
        <v>45444</v>
      </c>
      <c r="E828" s="35">
        <f t="shared" si="84"/>
        <v>0.42</v>
      </c>
      <c r="F828" s="37">
        <f t="shared" si="85"/>
        <v>33881.51</v>
      </c>
      <c r="G828" s="37">
        <f t="shared" si="86"/>
        <v>14230.234200000001</v>
      </c>
      <c r="H828" s="36" cm="1">
        <f t="array" ref="H828">SUMPRODUCT((C828&gt;tier_floor)*((C828-tier_floor)*step)*margin_rate)</f>
        <v>10980.234200000001</v>
      </c>
      <c r="I828" s="37">
        <f t="shared" si="87"/>
        <v>3250</v>
      </c>
      <c r="J828" s="38">
        <f t="shared" si="88"/>
        <v>2024</v>
      </c>
      <c r="K828" s="128">
        <f>(1+target)^($J828-(MIN(tbl_rep_mon[year])))</f>
        <v>1.5208749999999995</v>
      </c>
      <c r="L828" s="35">
        <f t="shared" si="89"/>
        <v>0.33</v>
      </c>
      <c r="M828" s="37">
        <f t="shared" si="90"/>
        <v>11180.898300000001</v>
      </c>
    </row>
    <row r="829" spans="1:13" x14ac:dyDescent="0.4">
      <c r="A829" t="s">
        <v>23</v>
      </c>
      <c r="B829">
        <v>1</v>
      </c>
      <c r="C829" s="36">
        <v>116462.95</v>
      </c>
      <c r="D829" s="1">
        <v>45444</v>
      </c>
      <c r="E829" s="35">
        <f t="shared" si="84"/>
        <v>0.6</v>
      </c>
      <c r="F829" s="37">
        <f t="shared" si="85"/>
        <v>58231.474999999999</v>
      </c>
      <c r="G829" s="37">
        <f t="shared" si="86"/>
        <v>34938.884999999995</v>
      </c>
      <c r="H829" s="36" cm="1">
        <f t="array" ref="H829">SUMPRODUCT((C829&gt;tier_floor)*((C829-tier_floor)*step)*margin_rate)</f>
        <v>23813.885000000002</v>
      </c>
      <c r="I829" s="37">
        <f t="shared" si="87"/>
        <v>11124.999999999993</v>
      </c>
      <c r="J829" s="38">
        <f t="shared" si="88"/>
        <v>2024</v>
      </c>
      <c r="K829" s="128">
        <f>(1+target)^($J829-(MIN(tbl_rep_mon[year])))</f>
        <v>1.5208749999999995</v>
      </c>
      <c r="L829" s="35">
        <f t="shared" si="89"/>
        <v>0.51</v>
      </c>
      <c r="M829" s="37">
        <f t="shared" si="90"/>
        <v>29698.052250000001</v>
      </c>
    </row>
    <row r="830" spans="1:13" x14ac:dyDescent="0.4">
      <c r="A830" t="s">
        <v>24</v>
      </c>
      <c r="B830">
        <v>3</v>
      </c>
      <c r="C830" s="36">
        <v>65076.79</v>
      </c>
      <c r="D830" s="1">
        <v>45444</v>
      </c>
      <c r="E830" s="35">
        <f t="shared" si="84"/>
        <v>0.42</v>
      </c>
      <c r="F830" s="37">
        <f t="shared" si="85"/>
        <v>32538.395</v>
      </c>
      <c r="G830" s="37">
        <f t="shared" si="86"/>
        <v>13666.125899999999</v>
      </c>
      <c r="H830" s="36" cm="1">
        <f t="array" ref="H830">SUMPRODUCT((C830&gt;tier_floor)*((C830-tier_floor)*step)*margin_rate)</f>
        <v>10416.125900000001</v>
      </c>
      <c r="I830" s="37">
        <f t="shared" si="87"/>
        <v>3249.9999999999982</v>
      </c>
      <c r="J830" s="38">
        <f t="shared" si="88"/>
        <v>2024</v>
      </c>
      <c r="K830" s="128">
        <f>(1+target)^($J830-(MIN(tbl_rep_mon[year])))</f>
        <v>1.5208749999999995</v>
      </c>
      <c r="L830" s="35">
        <f t="shared" si="89"/>
        <v>0.33</v>
      </c>
      <c r="M830" s="37">
        <f t="shared" si="90"/>
        <v>10737.67035</v>
      </c>
    </row>
    <row r="831" spans="1:13" x14ac:dyDescent="0.4">
      <c r="A831" t="s">
        <v>25</v>
      </c>
      <c r="B831">
        <v>2</v>
      </c>
      <c r="C831" s="36">
        <v>92301.77</v>
      </c>
      <c r="D831" s="1">
        <v>45444</v>
      </c>
      <c r="E831" s="35">
        <f t="shared" si="84"/>
        <v>0.51</v>
      </c>
      <c r="F831" s="37">
        <f t="shared" si="85"/>
        <v>46150.885000000002</v>
      </c>
      <c r="G831" s="37">
        <f t="shared" si="86"/>
        <v>23536.951350000003</v>
      </c>
      <c r="H831" s="36" cm="1">
        <f t="array" ref="H831">SUMPRODUCT((C831&gt;tier_floor)*((C831-tier_floor)*step)*margin_rate)</f>
        <v>16911.951350000003</v>
      </c>
      <c r="I831" s="37">
        <f t="shared" si="87"/>
        <v>6625</v>
      </c>
      <c r="J831" s="38">
        <f t="shared" si="88"/>
        <v>2024</v>
      </c>
      <c r="K831" s="128">
        <f>(1+target)^($J831-(MIN(tbl_rep_mon[year])))</f>
        <v>1.5208749999999995</v>
      </c>
      <c r="L831" s="35">
        <f t="shared" si="89"/>
        <v>0.42</v>
      </c>
      <c r="M831" s="37">
        <f t="shared" si="90"/>
        <v>19383.3717</v>
      </c>
    </row>
    <row r="832" spans="1:13" x14ac:dyDescent="0.4">
      <c r="A832" t="s">
        <v>26</v>
      </c>
      <c r="B832">
        <v>2</v>
      </c>
      <c r="C832" s="36">
        <v>97110.82</v>
      </c>
      <c r="D832" s="1">
        <v>45444</v>
      </c>
      <c r="E832" s="35">
        <f t="shared" si="84"/>
        <v>0.51</v>
      </c>
      <c r="F832" s="37">
        <f t="shared" si="85"/>
        <v>48555.41</v>
      </c>
      <c r="G832" s="37">
        <f t="shared" si="86"/>
        <v>24763.259100000003</v>
      </c>
      <c r="H832" s="36" cm="1">
        <f t="array" ref="H832">SUMPRODUCT((C832&gt;tier_floor)*((C832-tier_floor)*step)*margin_rate)</f>
        <v>18138.259099999999</v>
      </c>
      <c r="I832" s="37">
        <f t="shared" si="87"/>
        <v>6625.0000000000036</v>
      </c>
      <c r="J832" s="38">
        <f t="shared" si="88"/>
        <v>2024</v>
      </c>
      <c r="K832" s="128">
        <f>(1+target)^($J832-(MIN(tbl_rep_mon[year])))</f>
        <v>1.5208749999999995</v>
      </c>
      <c r="L832" s="35">
        <f t="shared" si="89"/>
        <v>0.42</v>
      </c>
      <c r="M832" s="37">
        <f t="shared" si="90"/>
        <v>20393.272199999999</v>
      </c>
    </row>
    <row r="833" spans="1:13" x14ac:dyDescent="0.4">
      <c r="A833" t="s">
        <v>29</v>
      </c>
      <c r="B833">
        <v>1</v>
      </c>
      <c r="C833" s="36">
        <v>147548.29</v>
      </c>
      <c r="D833" s="1">
        <v>45444</v>
      </c>
      <c r="E833" s="35">
        <f t="shared" si="84"/>
        <v>0.6</v>
      </c>
      <c r="F833" s="37">
        <f t="shared" si="85"/>
        <v>73774.145000000004</v>
      </c>
      <c r="G833" s="37">
        <f t="shared" si="86"/>
        <v>44264.487000000001</v>
      </c>
      <c r="H833" s="36" cm="1">
        <f t="array" ref="H833">SUMPRODUCT((C833&gt;tier_floor)*((C833-tier_floor)*step)*margin_rate)</f>
        <v>33139.487000000001</v>
      </c>
      <c r="I833" s="37">
        <f t="shared" si="87"/>
        <v>11125</v>
      </c>
      <c r="J833" s="38">
        <f t="shared" si="88"/>
        <v>2024</v>
      </c>
      <c r="K833" s="128">
        <f>(1+target)^($J833-(MIN(tbl_rep_mon[year])))</f>
        <v>1.5208749999999995</v>
      </c>
      <c r="L833" s="35">
        <f t="shared" si="89"/>
        <v>0.51</v>
      </c>
      <c r="M833" s="37">
        <f t="shared" si="90"/>
        <v>37624.813950000003</v>
      </c>
    </row>
    <row r="834" spans="1:13" x14ac:dyDescent="0.4">
      <c r="A834" t="s">
        <v>32</v>
      </c>
      <c r="B834">
        <v>4</v>
      </c>
      <c r="C834" s="36">
        <v>99191.74</v>
      </c>
      <c r="D834" s="1">
        <v>45444</v>
      </c>
      <c r="E834" s="35">
        <f t="shared" ref="E834:E897" si="91">_xlfn.XLOOKUP(C834,tier_floor,tier_rate,,-1)</f>
        <v>0.51</v>
      </c>
      <c r="F834" s="37">
        <f t="shared" ref="F834:F897" si="92">C834*margin_rate</f>
        <v>49595.87</v>
      </c>
      <c r="G834" s="37">
        <f t="shared" ref="G834:G897" si="93">F834*E834</f>
        <v>25293.893700000001</v>
      </c>
      <c r="H834" s="36" cm="1">
        <f t="array" ref="H834">SUMPRODUCT((C834&gt;tier_floor)*((C834-tier_floor)*step)*margin_rate)</f>
        <v>18668.893700000001</v>
      </c>
      <c r="I834" s="37">
        <f t="shared" ref="I834:I897" si="94">G834-H834</f>
        <v>6625</v>
      </c>
      <c r="J834" s="38">
        <f t="shared" ref="J834:J897" si="95">YEAR(D834)</f>
        <v>2024</v>
      </c>
      <c r="K834" s="128">
        <f>(1+target)^($J834-(MIN(tbl_rep_mon[year])))</f>
        <v>1.5208749999999995</v>
      </c>
      <c r="L834" s="35">
        <f t="shared" ref="L834:L897" si="96">_xlfn.XLOOKUP(($C834/$K834),tier_floor,tier_rate,,-1)</f>
        <v>0.42</v>
      </c>
      <c r="M834" s="37">
        <f t="shared" ref="M834:M897" si="97">$F834*$L834</f>
        <v>20830.2654</v>
      </c>
    </row>
    <row r="835" spans="1:13" x14ac:dyDescent="0.4">
      <c r="A835" t="s">
        <v>33</v>
      </c>
      <c r="B835">
        <v>3</v>
      </c>
      <c r="C835" s="36">
        <v>66971.259999999995</v>
      </c>
      <c r="D835" s="1">
        <v>45444</v>
      </c>
      <c r="E835" s="35">
        <f t="shared" si="91"/>
        <v>0.42</v>
      </c>
      <c r="F835" s="37">
        <f t="shared" si="92"/>
        <v>33485.629999999997</v>
      </c>
      <c r="G835" s="37">
        <f t="shared" si="93"/>
        <v>14063.964599999998</v>
      </c>
      <c r="H835" s="36" cm="1">
        <f t="array" ref="H835">SUMPRODUCT((C835&gt;tier_floor)*((C835-tier_floor)*step)*margin_rate)</f>
        <v>10813.964599999998</v>
      </c>
      <c r="I835" s="37">
        <f t="shared" si="94"/>
        <v>3250</v>
      </c>
      <c r="J835" s="38">
        <f t="shared" si="95"/>
        <v>2024</v>
      </c>
      <c r="K835" s="128">
        <f>(1+target)^($J835-(MIN(tbl_rep_mon[year])))</f>
        <v>1.5208749999999995</v>
      </c>
      <c r="L835" s="35">
        <f t="shared" si="96"/>
        <v>0.33</v>
      </c>
      <c r="M835" s="37">
        <f t="shared" si="97"/>
        <v>11050.257900000001</v>
      </c>
    </row>
    <row r="836" spans="1:13" x14ac:dyDescent="0.4">
      <c r="A836" t="s">
        <v>34</v>
      </c>
      <c r="B836">
        <v>4</v>
      </c>
      <c r="C836" s="36">
        <v>74196.22</v>
      </c>
      <c r="D836" s="1">
        <v>45444</v>
      </c>
      <c r="E836" s="35">
        <f t="shared" si="91"/>
        <v>0.42</v>
      </c>
      <c r="F836" s="37">
        <f t="shared" si="92"/>
        <v>37098.11</v>
      </c>
      <c r="G836" s="37">
        <f t="shared" si="93"/>
        <v>15581.206200000001</v>
      </c>
      <c r="H836" s="36" cm="1">
        <f t="array" ref="H836">SUMPRODUCT((C836&gt;tier_floor)*((C836-tier_floor)*step)*margin_rate)</f>
        <v>12331.206200000001</v>
      </c>
      <c r="I836" s="37">
        <f t="shared" si="94"/>
        <v>3250</v>
      </c>
      <c r="J836" s="38">
        <f t="shared" si="95"/>
        <v>2024</v>
      </c>
      <c r="K836" s="128">
        <f>(1+target)^($J836-(MIN(tbl_rep_mon[year])))</f>
        <v>1.5208749999999995</v>
      </c>
      <c r="L836" s="35">
        <f t="shared" si="96"/>
        <v>0.33</v>
      </c>
      <c r="M836" s="37">
        <f t="shared" si="97"/>
        <v>12242.3763</v>
      </c>
    </row>
    <row r="837" spans="1:13" x14ac:dyDescent="0.4">
      <c r="A837" t="s">
        <v>35</v>
      </c>
      <c r="B837">
        <v>4</v>
      </c>
      <c r="C837" s="36">
        <v>54096.1</v>
      </c>
      <c r="D837" s="1">
        <v>45444</v>
      </c>
      <c r="E837" s="35">
        <f t="shared" si="91"/>
        <v>0.42</v>
      </c>
      <c r="F837" s="37">
        <f t="shared" si="92"/>
        <v>27048.05</v>
      </c>
      <c r="G837" s="37">
        <f t="shared" si="93"/>
        <v>11360.180999999999</v>
      </c>
      <c r="H837" s="36" cm="1">
        <f t="array" ref="H837">SUMPRODUCT((C837&gt;tier_floor)*((C837-tier_floor)*step)*margin_rate)</f>
        <v>8110.1809999999996</v>
      </c>
      <c r="I837" s="37">
        <f t="shared" si="94"/>
        <v>3249.9999999999991</v>
      </c>
      <c r="J837" s="38">
        <f t="shared" si="95"/>
        <v>2024</v>
      </c>
      <c r="K837" s="128">
        <f>(1+target)^($J837-(MIN(tbl_rep_mon[year])))</f>
        <v>1.5208749999999995</v>
      </c>
      <c r="L837" s="35">
        <f t="shared" si="96"/>
        <v>0.33</v>
      </c>
      <c r="M837" s="37">
        <f t="shared" si="97"/>
        <v>8925.8564999999999</v>
      </c>
    </row>
    <row r="838" spans="1:13" x14ac:dyDescent="0.4">
      <c r="A838" t="s">
        <v>37</v>
      </c>
      <c r="B838">
        <v>4</v>
      </c>
      <c r="C838" s="36">
        <v>91335.22</v>
      </c>
      <c r="D838" s="1">
        <v>45444</v>
      </c>
      <c r="E838" s="35">
        <f t="shared" si="91"/>
        <v>0.51</v>
      </c>
      <c r="F838" s="37">
        <f t="shared" si="92"/>
        <v>45667.61</v>
      </c>
      <c r="G838" s="37">
        <f t="shared" si="93"/>
        <v>23290.481100000001</v>
      </c>
      <c r="H838" s="36" cm="1">
        <f t="array" ref="H838">SUMPRODUCT((C838&gt;tier_floor)*((C838-tier_floor)*step)*margin_rate)</f>
        <v>16665.481100000001</v>
      </c>
      <c r="I838" s="37">
        <f t="shared" si="94"/>
        <v>6625</v>
      </c>
      <c r="J838" s="38">
        <f t="shared" si="95"/>
        <v>2024</v>
      </c>
      <c r="K838" s="128">
        <f>(1+target)^($J838-(MIN(tbl_rep_mon[year])))</f>
        <v>1.5208749999999995</v>
      </c>
      <c r="L838" s="35">
        <f t="shared" si="96"/>
        <v>0.42</v>
      </c>
      <c r="M838" s="37">
        <f t="shared" si="97"/>
        <v>19180.396199999999</v>
      </c>
    </row>
    <row r="839" spans="1:13" x14ac:dyDescent="0.4">
      <c r="A839" t="s">
        <v>38</v>
      </c>
      <c r="B839">
        <v>2</v>
      </c>
      <c r="C839" s="36">
        <v>91987.92</v>
      </c>
      <c r="D839" s="1">
        <v>45444</v>
      </c>
      <c r="E839" s="35">
        <f t="shared" si="91"/>
        <v>0.51</v>
      </c>
      <c r="F839" s="37">
        <f t="shared" si="92"/>
        <v>45993.96</v>
      </c>
      <c r="G839" s="37">
        <f t="shared" si="93"/>
        <v>23456.919600000001</v>
      </c>
      <c r="H839" s="36" cm="1">
        <f t="array" ref="H839">SUMPRODUCT((C839&gt;tier_floor)*((C839-tier_floor)*step)*margin_rate)</f>
        <v>16831.919599999997</v>
      </c>
      <c r="I839" s="37">
        <f t="shared" si="94"/>
        <v>6625.0000000000036</v>
      </c>
      <c r="J839" s="38">
        <f t="shared" si="95"/>
        <v>2024</v>
      </c>
      <c r="K839" s="128">
        <f>(1+target)^($J839-(MIN(tbl_rep_mon[year])))</f>
        <v>1.5208749999999995</v>
      </c>
      <c r="L839" s="35">
        <f t="shared" si="96"/>
        <v>0.42</v>
      </c>
      <c r="M839" s="37">
        <f t="shared" si="97"/>
        <v>19317.463199999998</v>
      </c>
    </row>
    <row r="840" spans="1:13" x14ac:dyDescent="0.4">
      <c r="A840" t="s">
        <v>39</v>
      </c>
      <c r="B840">
        <v>2</v>
      </c>
      <c r="C840" s="36">
        <v>105251.17</v>
      </c>
      <c r="D840" s="1">
        <v>45444</v>
      </c>
      <c r="E840" s="35">
        <f t="shared" si="91"/>
        <v>0.6</v>
      </c>
      <c r="F840" s="37">
        <f t="shared" si="92"/>
        <v>52625.584999999999</v>
      </c>
      <c r="G840" s="37">
        <f t="shared" si="93"/>
        <v>31575.350999999999</v>
      </c>
      <c r="H840" s="36" cm="1">
        <f t="array" ref="H840">SUMPRODUCT((C840&gt;tier_floor)*((C840-tier_floor)*step)*margin_rate)</f>
        <v>20450.351000000002</v>
      </c>
      <c r="I840" s="37">
        <f t="shared" si="94"/>
        <v>11124.999999999996</v>
      </c>
      <c r="J840" s="38">
        <f t="shared" si="95"/>
        <v>2024</v>
      </c>
      <c r="K840" s="128">
        <f>(1+target)^($J840-(MIN(tbl_rep_mon[year])))</f>
        <v>1.5208749999999995</v>
      </c>
      <c r="L840" s="35">
        <f t="shared" si="96"/>
        <v>0.42</v>
      </c>
      <c r="M840" s="37">
        <f t="shared" si="97"/>
        <v>22102.745699999999</v>
      </c>
    </row>
    <row r="841" spans="1:13" x14ac:dyDescent="0.4">
      <c r="A841" t="s">
        <v>40</v>
      </c>
      <c r="B841">
        <v>4</v>
      </c>
      <c r="C841" s="36">
        <v>76677.73</v>
      </c>
      <c r="D841" s="1">
        <v>45444</v>
      </c>
      <c r="E841" s="35">
        <f t="shared" si="91"/>
        <v>0.51</v>
      </c>
      <c r="F841" s="37">
        <f t="shared" si="92"/>
        <v>38338.864999999998</v>
      </c>
      <c r="G841" s="37">
        <f t="shared" si="93"/>
        <v>19552.82115</v>
      </c>
      <c r="H841" s="36" cm="1">
        <f t="array" ref="H841">SUMPRODUCT((C841&gt;tier_floor)*((C841-tier_floor)*step)*margin_rate)</f>
        <v>12927.82115</v>
      </c>
      <c r="I841" s="37">
        <f t="shared" si="94"/>
        <v>6625</v>
      </c>
      <c r="J841" s="38">
        <f t="shared" si="95"/>
        <v>2024</v>
      </c>
      <c r="K841" s="128">
        <f>(1+target)^($J841-(MIN(tbl_rep_mon[year])))</f>
        <v>1.5208749999999995</v>
      </c>
      <c r="L841" s="35">
        <f t="shared" si="96"/>
        <v>0.42</v>
      </c>
      <c r="M841" s="37">
        <f t="shared" si="97"/>
        <v>16102.323299999998</v>
      </c>
    </row>
    <row r="842" spans="1:13" x14ac:dyDescent="0.4">
      <c r="A842" t="s">
        <v>6</v>
      </c>
      <c r="B842">
        <v>2</v>
      </c>
      <c r="C842" s="36">
        <v>98927.8</v>
      </c>
      <c r="D842" s="1">
        <v>45474</v>
      </c>
      <c r="E842" s="35">
        <f t="shared" si="91"/>
        <v>0.51</v>
      </c>
      <c r="F842" s="37">
        <f t="shared" si="92"/>
        <v>49463.9</v>
      </c>
      <c r="G842" s="37">
        <f t="shared" si="93"/>
        <v>25226.589</v>
      </c>
      <c r="H842" s="36" cm="1">
        <f t="array" ref="H842">SUMPRODUCT((C842&gt;tier_floor)*((C842-tier_floor)*step)*margin_rate)</f>
        <v>18601.589</v>
      </c>
      <c r="I842" s="37">
        <f t="shared" si="94"/>
        <v>6625</v>
      </c>
      <c r="J842" s="38">
        <f t="shared" si="95"/>
        <v>2024</v>
      </c>
      <c r="K842" s="128">
        <f>(1+target)^($J842-(MIN(tbl_rep_mon[year])))</f>
        <v>1.5208749999999995</v>
      </c>
      <c r="L842" s="35">
        <f t="shared" si="96"/>
        <v>0.42</v>
      </c>
      <c r="M842" s="37">
        <f t="shared" si="97"/>
        <v>20774.838</v>
      </c>
    </row>
    <row r="843" spans="1:13" x14ac:dyDescent="0.4">
      <c r="A843" t="s">
        <v>7</v>
      </c>
      <c r="B843">
        <v>4</v>
      </c>
      <c r="C843" s="36">
        <v>77735.81</v>
      </c>
      <c r="D843" s="1">
        <v>45474</v>
      </c>
      <c r="E843" s="35">
        <f t="shared" si="91"/>
        <v>0.51</v>
      </c>
      <c r="F843" s="37">
        <f t="shared" si="92"/>
        <v>38867.904999999999</v>
      </c>
      <c r="G843" s="37">
        <f t="shared" si="93"/>
        <v>19822.631549999998</v>
      </c>
      <c r="H843" s="36" cm="1">
        <f t="array" ref="H843">SUMPRODUCT((C843&gt;tier_floor)*((C843-tier_floor)*step)*margin_rate)</f>
        <v>13197.631549999998</v>
      </c>
      <c r="I843" s="37">
        <f t="shared" si="94"/>
        <v>6625</v>
      </c>
      <c r="J843" s="38">
        <f t="shared" si="95"/>
        <v>2024</v>
      </c>
      <c r="K843" s="128">
        <f>(1+target)^($J843-(MIN(tbl_rep_mon[year])))</f>
        <v>1.5208749999999995</v>
      </c>
      <c r="L843" s="35">
        <f t="shared" si="96"/>
        <v>0.42</v>
      </c>
      <c r="M843" s="37">
        <f t="shared" si="97"/>
        <v>16324.5201</v>
      </c>
    </row>
    <row r="844" spans="1:13" x14ac:dyDescent="0.4">
      <c r="A844" t="s">
        <v>8</v>
      </c>
      <c r="B844">
        <v>4</v>
      </c>
      <c r="C844" s="36">
        <v>85032.2</v>
      </c>
      <c r="D844" s="1">
        <v>45474</v>
      </c>
      <c r="E844" s="35">
        <f t="shared" si="91"/>
        <v>0.51</v>
      </c>
      <c r="F844" s="37">
        <f t="shared" si="92"/>
        <v>42516.1</v>
      </c>
      <c r="G844" s="37">
        <f t="shared" si="93"/>
        <v>21683.210999999999</v>
      </c>
      <c r="H844" s="36" cm="1">
        <f t="array" ref="H844">SUMPRODUCT((C844&gt;tier_floor)*((C844-tier_floor)*step)*margin_rate)</f>
        <v>15058.210999999999</v>
      </c>
      <c r="I844" s="37">
        <f t="shared" si="94"/>
        <v>6625</v>
      </c>
      <c r="J844" s="38">
        <f t="shared" si="95"/>
        <v>2024</v>
      </c>
      <c r="K844" s="128">
        <f>(1+target)^($J844-(MIN(tbl_rep_mon[year])))</f>
        <v>1.5208749999999995</v>
      </c>
      <c r="L844" s="35">
        <f t="shared" si="96"/>
        <v>0.42</v>
      </c>
      <c r="M844" s="37">
        <f t="shared" si="97"/>
        <v>17856.761999999999</v>
      </c>
    </row>
    <row r="845" spans="1:13" x14ac:dyDescent="0.4">
      <c r="A845" t="s">
        <v>15</v>
      </c>
      <c r="B845">
        <v>3</v>
      </c>
      <c r="C845" s="36">
        <v>87788.13</v>
      </c>
      <c r="D845" s="1">
        <v>45474</v>
      </c>
      <c r="E845" s="35">
        <f t="shared" si="91"/>
        <v>0.51</v>
      </c>
      <c r="F845" s="37">
        <f t="shared" si="92"/>
        <v>43894.065000000002</v>
      </c>
      <c r="G845" s="37">
        <f t="shared" si="93"/>
        <v>22385.973150000002</v>
      </c>
      <c r="H845" s="36" cm="1">
        <f t="array" ref="H845">SUMPRODUCT((C845&gt;tier_floor)*((C845-tier_floor)*step)*margin_rate)</f>
        <v>15760.973150000002</v>
      </c>
      <c r="I845" s="37">
        <f t="shared" si="94"/>
        <v>6625</v>
      </c>
      <c r="J845" s="38">
        <f t="shared" si="95"/>
        <v>2024</v>
      </c>
      <c r="K845" s="128">
        <f>(1+target)^($J845-(MIN(tbl_rep_mon[year])))</f>
        <v>1.5208749999999995</v>
      </c>
      <c r="L845" s="35">
        <f t="shared" si="96"/>
        <v>0.42</v>
      </c>
      <c r="M845" s="37">
        <f t="shared" si="97"/>
        <v>18435.507300000001</v>
      </c>
    </row>
    <row r="846" spans="1:13" x14ac:dyDescent="0.4">
      <c r="A846" t="s">
        <v>16</v>
      </c>
      <c r="B846">
        <v>3</v>
      </c>
      <c r="C846" s="36">
        <v>100732.46</v>
      </c>
      <c r="D846" s="1">
        <v>45474</v>
      </c>
      <c r="E846" s="35">
        <f t="shared" si="91"/>
        <v>0.6</v>
      </c>
      <c r="F846" s="37">
        <f t="shared" si="92"/>
        <v>50366.23</v>
      </c>
      <c r="G846" s="37">
        <f t="shared" si="93"/>
        <v>30219.738000000001</v>
      </c>
      <c r="H846" s="36" cm="1">
        <f t="array" ref="H846">SUMPRODUCT((C846&gt;tier_floor)*((C846-tier_floor)*step)*margin_rate)</f>
        <v>19094.738000000001</v>
      </c>
      <c r="I846" s="37">
        <f t="shared" si="94"/>
        <v>11125</v>
      </c>
      <c r="J846" s="38">
        <f t="shared" si="95"/>
        <v>2024</v>
      </c>
      <c r="K846" s="128">
        <f>(1+target)^($J846-(MIN(tbl_rep_mon[year])))</f>
        <v>1.5208749999999995</v>
      </c>
      <c r="L846" s="35">
        <f t="shared" si="96"/>
        <v>0.42</v>
      </c>
      <c r="M846" s="37">
        <f t="shared" si="97"/>
        <v>21153.816600000002</v>
      </c>
    </row>
    <row r="847" spans="1:13" x14ac:dyDescent="0.4">
      <c r="A847" t="s">
        <v>18</v>
      </c>
      <c r="B847">
        <v>3</v>
      </c>
      <c r="C847" s="36">
        <v>95089.85</v>
      </c>
      <c r="D847" s="1">
        <v>45474</v>
      </c>
      <c r="E847" s="35">
        <f t="shared" si="91"/>
        <v>0.51</v>
      </c>
      <c r="F847" s="37">
        <f t="shared" si="92"/>
        <v>47544.925000000003</v>
      </c>
      <c r="G847" s="37">
        <f t="shared" si="93"/>
        <v>24247.911750000003</v>
      </c>
      <c r="H847" s="36" cm="1">
        <f t="array" ref="H847">SUMPRODUCT((C847&gt;tier_floor)*((C847-tier_floor)*step)*margin_rate)</f>
        <v>17622.911749999999</v>
      </c>
      <c r="I847" s="37">
        <f t="shared" si="94"/>
        <v>6625.0000000000036</v>
      </c>
      <c r="J847" s="38">
        <f t="shared" si="95"/>
        <v>2024</v>
      </c>
      <c r="K847" s="128">
        <f>(1+target)^($J847-(MIN(tbl_rep_mon[year])))</f>
        <v>1.5208749999999995</v>
      </c>
      <c r="L847" s="35">
        <f t="shared" si="96"/>
        <v>0.42</v>
      </c>
      <c r="M847" s="37">
        <f t="shared" si="97"/>
        <v>19968.8685</v>
      </c>
    </row>
    <row r="848" spans="1:13" x14ac:dyDescent="0.4">
      <c r="A848" t="s">
        <v>19</v>
      </c>
      <c r="B848">
        <v>4</v>
      </c>
      <c r="C848" s="36">
        <v>82275.56</v>
      </c>
      <c r="D848" s="1">
        <v>45474</v>
      </c>
      <c r="E848" s="35">
        <f t="shared" si="91"/>
        <v>0.51</v>
      </c>
      <c r="F848" s="37">
        <f t="shared" si="92"/>
        <v>41137.78</v>
      </c>
      <c r="G848" s="37">
        <f t="shared" si="93"/>
        <v>20980.267800000001</v>
      </c>
      <c r="H848" s="36" cm="1">
        <f t="array" ref="H848">SUMPRODUCT((C848&gt;tier_floor)*((C848-tier_floor)*step)*margin_rate)</f>
        <v>14355.2678</v>
      </c>
      <c r="I848" s="37">
        <f t="shared" si="94"/>
        <v>6625.0000000000018</v>
      </c>
      <c r="J848" s="38">
        <f t="shared" si="95"/>
        <v>2024</v>
      </c>
      <c r="K848" s="128">
        <f>(1+target)^($J848-(MIN(tbl_rep_mon[year])))</f>
        <v>1.5208749999999995</v>
      </c>
      <c r="L848" s="35">
        <f t="shared" si="96"/>
        <v>0.42</v>
      </c>
      <c r="M848" s="37">
        <f t="shared" si="97"/>
        <v>17277.867599999998</v>
      </c>
    </row>
    <row r="849" spans="1:13" x14ac:dyDescent="0.4">
      <c r="A849" t="s">
        <v>23</v>
      </c>
      <c r="B849">
        <v>1</v>
      </c>
      <c r="C849" s="36">
        <v>144382.18</v>
      </c>
      <c r="D849" s="1">
        <v>45474</v>
      </c>
      <c r="E849" s="35">
        <f t="shared" si="91"/>
        <v>0.6</v>
      </c>
      <c r="F849" s="37">
        <f t="shared" si="92"/>
        <v>72191.09</v>
      </c>
      <c r="G849" s="37">
        <f t="shared" si="93"/>
        <v>43314.653999999995</v>
      </c>
      <c r="H849" s="36" cm="1">
        <f t="array" ref="H849">SUMPRODUCT((C849&gt;tier_floor)*((C849-tier_floor)*step)*margin_rate)</f>
        <v>32189.653999999995</v>
      </c>
      <c r="I849" s="37">
        <f t="shared" si="94"/>
        <v>11125</v>
      </c>
      <c r="J849" s="38">
        <f t="shared" si="95"/>
        <v>2024</v>
      </c>
      <c r="K849" s="128">
        <f>(1+target)^($J849-(MIN(tbl_rep_mon[year])))</f>
        <v>1.5208749999999995</v>
      </c>
      <c r="L849" s="35">
        <f t="shared" si="96"/>
        <v>0.51</v>
      </c>
      <c r="M849" s="37">
        <f t="shared" si="97"/>
        <v>36817.455900000001</v>
      </c>
    </row>
    <row r="850" spans="1:13" x14ac:dyDescent="0.4">
      <c r="A850" t="s">
        <v>24</v>
      </c>
      <c r="B850">
        <v>3</v>
      </c>
      <c r="C850" s="36">
        <v>59694.94</v>
      </c>
      <c r="D850" s="1">
        <v>45474</v>
      </c>
      <c r="E850" s="35">
        <f t="shared" si="91"/>
        <v>0.42</v>
      </c>
      <c r="F850" s="37">
        <f t="shared" si="92"/>
        <v>29847.47</v>
      </c>
      <c r="G850" s="37">
        <f t="shared" si="93"/>
        <v>12535.937400000001</v>
      </c>
      <c r="H850" s="36" cm="1">
        <f t="array" ref="H850">SUMPRODUCT((C850&gt;tier_floor)*((C850-tier_floor)*step)*margin_rate)</f>
        <v>9285.9374000000007</v>
      </c>
      <c r="I850" s="37">
        <f t="shared" si="94"/>
        <v>3250</v>
      </c>
      <c r="J850" s="38">
        <f t="shared" si="95"/>
        <v>2024</v>
      </c>
      <c r="K850" s="128">
        <f>(1+target)^($J850-(MIN(tbl_rep_mon[year])))</f>
        <v>1.5208749999999995</v>
      </c>
      <c r="L850" s="35">
        <f t="shared" si="96"/>
        <v>0.33</v>
      </c>
      <c r="M850" s="37">
        <f t="shared" si="97"/>
        <v>9849.6651000000002</v>
      </c>
    </row>
    <row r="851" spans="1:13" x14ac:dyDescent="0.4">
      <c r="A851" t="s">
        <v>25</v>
      </c>
      <c r="B851">
        <v>2</v>
      </c>
      <c r="C851" s="36">
        <v>103418.63</v>
      </c>
      <c r="D851" s="1">
        <v>45474</v>
      </c>
      <c r="E851" s="35">
        <f t="shared" si="91"/>
        <v>0.6</v>
      </c>
      <c r="F851" s="37">
        <f t="shared" si="92"/>
        <v>51709.315000000002</v>
      </c>
      <c r="G851" s="37">
        <f t="shared" si="93"/>
        <v>31025.589</v>
      </c>
      <c r="H851" s="36" cm="1">
        <f t="array" ref="H851">SUMPRODUCT((C851&gt;tier_floor)*((C851-tier_floor)*step)*margin_rate)</f>
        <v>19900.589000000004</v>
      </c>
      <c r="I851" s="37">
        <f t="shared" si="94"/>
        <v>11124.999999999996</v>
      </c>
      <c r="J851" s="38">
        <f t="shared" si="95"/>
        <v>2024</v>
      </c>
      <c r="K851" s="128">
        <f>(1+target)^($J851-(MIN(tbl_rep_mon[year])))</f>
        <v>1.5208749999999995</v>
      </c>
      <c r="L851" s="35">
        <f t="shared" si="96"/>
        <v>0.42</v>
      </c>
      <c r="M851" s="37">
        <f t="shared" si="97"/>
        <v>21717.9123</v>
      </c>
    </row>
    <row r="852" spans="1:13" x14ac:dyDescent="0.4">
      <c r="A852" t="s">
        <v>26</v>
      </c>
      <c r="B852">
        <v>2</v>
      </c>
      <c r="C852" s="36">
        <v>13094.96</v>
      </c>
      <c r="D852" s="1">
        <v>45474</v>
      </c>
      <c r="E852" s="35">
        <f t="shared" si="91"/>
        <v>0.25</v>
      </c>
      <c r="F852" s="37">
        <f t="shared" si="92"/>
        <v>6547.48</v>
      </c>
      <c r="G852" s="37">
        <f t="shared" si="93"/>
        <v>1636.87</v>
      </c>
      <c r="H852" s="36" cm="1">
        <f t="array" ref="H852">SUMPRODUCT((C852&gt;tier_floor)*((C852-tier_floor)*step)*margin_rate)</f>
        <v>1636.87</v>
      </c>
      <c r="I852" s="37">
        <f t="shared" si="94"/>
        <v>0</v>
      </c>
      <c r="J852" s="38">
        <f t="shared" si="95"/>
        <v>2024</v>
      </c>
      <c r="K852" s="128">
        <f>(1+target)^($J852-(MIN(tbl_rep_mon[year])))</f>
        <v>1.5208749999999995</v>
      </c>
      <c r="L852" s="35">
        <f t="shared" si="96"/>
        <v>0.25</v>
      </c>
      <c r="M852" s="37">
        <f t="shared" si="97"/>
        <v>1636.87</v>
      </c>
    </row>
    <row r="853" spans="1:13" x14ac:dyDescent="0.4">
      <c r="A853" t="s">
        <v>29</v>
      </c>
      <c r="B853">
        <v>1</v>
      </c>
      <c r="C853" s="36">
        <v>118120.31</v>
      </c>
      <c r="D853" s="1">
        <v>45474</v>
      </c>
      <c r="E853" s="35">
        <f t="shared" si="91"/>
        <v>0.6</v>
      </c>
      <c r="F853" s="37">
        <f t="shared" si="92"/>
        <v>59060.154999999999</v>
      </c>
      <c r="G853" s="37">
        <f t="shared" si="93"/>
        <v>35436.093000000001</v>
      </c>
      <c r="H853" s="36" cm="1">
        <f t="array" ref="H853">SUMPRODUCT((C853&gt;tier_floor)*((C853-tier_floor)*step)*margin_rate)</f>
        <v>24311.093000000001</v>
      </c>
      <c r="I853" s="37">
        <f t="shared" si="94"/>
        <v>11125</v>
      </c>
      <c r="J853" s="38">
        <f t="shared" si="95"/>
        <v>2024</v>
      </c>
      <c r="K853" s="128">
        <f>(1+target)^($J853-(MIN(tbl_rep_mon[year])))</f>
        <v>1.5208749999999995</v>
      </c>
      <c r="L853" s="35">
        <f t="shared" si="96"/>
        <v>0.51</v>
      </c>
      <c r="M853" s="37">
        <f t="shared" si="97"/>
        <v>30120.679049999999</v>
      </c>
    </row>
    <row r="854" spans="1:13" x14ac:dyDescent="0.4">
      <c r="A854" t="s">
        <v>32</v>
      </c>
      <c r="B854">
        <v>4</v>
      </c>
      <c r="C854" s="36">
        <v>80312.850000000006</v>
      </c>
      <c r="D854" s="1">
        <v>45474</v>
      </c>
      <c r="E854" s="35">
        <f t="shared" si="91"/>
        <v>0.51</v>
      </c>
      <c r="F854" s="37">
        <f t="shared" si="92"/>
        <v>40156.425000000003</v>
      </c>
      <c r="G854" s="37">
        <f t="shared" si="93"/>
        <v>20479.776750000001</v>
      </c>
      <c r="H854" s="36" cm="1">
        <f t="array" ref="H854">SUMPRODUCT((C854&gt;tier_floor)*((C854-tier_floor)*step)*margin_rate)</f>
        <v>13854.776750000003</v>
      </c>
      <c r="I854" s="37">
        <f t="shared" si="94"/>
        <v>6624.9999999999982</v>
      </c>
      <c r="J854" s="38">
        <f t="shared" si="95"/>
        <v>2024</v>
      </c>
      <c r="K854" s="128">
        <f>(1+target)^($J854-(MIN(tbl_rep_mon[year])))</f>
        <v>1.5208749999999995</v>
      </c>
      <c r="L854" s="35">
        <f t="shared" si="96"/>
        <v>0.42</v>
      </c>
      <c r="M854" s="37">
        <f t="shared" si="97"/>
        <v>16865.698500000002</v>
      </c>
    </row>
    <row r="855" spans="1:13" x14ac:dyDescent="0.4">
      <c r="A855" t="s">
        <v>33</v>
      </c>
      <c r="B855">
        <v>3</v>
      </c>
      <c r="C855" s="36">
        <v>84591.52</v>
      </c>
      <c r="D855" s="1">
        <v>45474</v>
      </c>
      <c r="E855" s="35">
        <f t="shared" si="91"/>
        <v>0.51</v>
      </c>
      <c r="F855" s="37">
        <f t="shared" si="92"/>
        <v>42295.76</v>
      </c>
      <c r="G855" s="37">
        <f t="shared" si="93"/>
        <v>21570.837600000003</v>
      </c>
      <c r="H855" s="36" cm="1">
        <f t="array" ref="H855">SUMPRODUCT((C855&gt;tier_floor)*((C855-tier_floor)*step)*margin_rate)</f>
        <v>14945.837599999999</v>
      </c>
      <c r="I855" s="37">
        <f t="shared" si="94"/>
        <v>6625.0000000000036</v>
      </c>
      <c r="J855" s="38">
        <f t="shared" si="95"/>
        <v>2024</v>
      </c>
      <c r="K855" s="128">
        <f>(1+target)^($J855-(MIN(tbl_rep_mon[year])))</f>
        <v>1.5208749999999995</v>
      </c>
      <c r="L855" s="35">
        <f t="shared" si="96"/>
        <v>0.42</v>
      </c>
      <c r="M855" s="37">
        <f t="shared" si="97"/>
        <v>17764.2192</v>
      </c>
    </row>
    <row r="856" spans="1:13" x14ac:dyDescent="0.4">
      <c r="A856" t="s">
        <v>34</v>
      </c>
      <c r="B856">
        <v>4</v>
      </c>
      <c r="C856" s="36">
        <v>92417.06</v>
      </c>
      <c r="D856" s="1">
        <v>45474</v>
      </c>
      <c r="E856" s="35">
        <f t="shared" si="91"/>
        <v>0.51</v>
      </c>
      <c r="F856" s="37">
        <f t="shared" si="92"/>
        <v>46208.53</v>
      </c>
      <c r="G856" s="37">
        <f t="shared" si="93"/>
        <v>23566.350299999998</v>
      </c>
      <c r="H856" s="36" cm="1">
        <f t="array" ref="H856">SUMPRODUCT((C856&gt;tier_floor)*((C856-tier_floor)*step)*margin_rate)</f>
        <v>16941.350299999998</v>
      </c>
      <c r="I856" s="37">
        <f t="shared" si="94"/>
        <v>6625</v>
      </c>
      <c r="J856" s="38">
        <f t="shared" si="95"/>
        <v>2024</v>
      </c>
      <c r="K856" s="128">
        <f>(1+target)^($J856-(MIN(tbl_rep_mon[year])))</f>
        <v>1.5208749999999995</v>
      </c>
      <c r="L856" s="35">
        <f t="shared" si="96"/>
        <v>0.42</v>
      </c>
      <c r="M856" s="37">
        <f t="shared" si="97"/>
        <v>19407.582599999998</v>
      </c>
    </row>
    <row r="857" spans="1:13" x14ac:dyDescent="0.4">
      <c r="A857" t="s">
        <v>35</v>
      </c>
      <c r="B857">
        <v>4</v>
      </c>
      <c r="C857" s="36">
        <v>58583.13</v>
      </c>
      <c r="D857" s="1">
        <v>45474</v>
      </c>
      <c r="E857" s="35">
        <f t="shared" si="91"/>
        <v>0.42</v>
      </c>
      <c r="F857" s="37">
        <f t="shared" si="92"/>
        <v>29291.564999999999</v>
      </c>
      <c r="G857" s="37">
        <f t="shared" si="93"/>
        <v>12302.457299999998</v>
      </c>
      <c r="H857" s="36" cm="1">
        <f t="array" ref="H857">SUMPRODUCT((C857&gt;tier_floor)*((C857-tier_floor)*step)*margin_rate)</f>
        <v>9052.4573</v>
      </c>
      <c r="I857" s="37">
        <f t="shared" si="94"/>
        <v>3249.9999999999982</v>
      </c>
      <c r="J857" s="38">
        <f t="shared" si="95"/>
        <v>2024</v>
      </c>
      <c r="K857" s="128">
        <f>(1+target)^($J857-(MIN(tbl_rep_mon[year])))</f>
        <v>1.5208749999999995</v>
      </c>
      <c r="L857" s="35">
        <f t="shared" si="96"/>
        <v>0.33</v>
      </c>
      <c r="M857" s="37">
        <f t="shared" si="97"/>
        <v>9666.2164499999999</v>
      </c>
    </row>
    <row r="858" spans="1:13" x14ac:dyDescent="0.4">
      <c r="A858" t="s">
        <v>37</v>
      </c>
      <c r="B858">
        <v>4</v>
      </c>
      <c r="C858" s="36">
        <v>77771.62</v>
      </c>
      <c r="D858" s="1">
        <v>45474</v>
      </c>
      <c r="E858" s="35">
        <f t="shared" si="91"/>
        <v>0.51</v>
      </c>
      <c r="F858" s="37">
        <f t="shared" si="92"/>
        <v>38885.81</v>
      </c>
      <c r="G858" s="37">
        <f t="shared" si="93"/>
        <v>19831.7631</v>
      </c>
      <c r="H858" s="36" cm="1">
        <f t="array" ref="H858">SUMPRODUCT((C858&gt;tier_floor)*((C858-tier_floor)*step)*margin_rate)</f>
        <v>13206.763099999998</v>
      </c>
      <c r="I858" s="37">
        <f t="shared" si="94"/>
        <v>6625.0000000000018</v>
      </c>
      <c r="J858" s="38">
        <f t="shared" si="95"/>
        <v>2024</v>
      </c>
      <c r="K858" s="128">
        <f>(1+target)^($J858-(MIN(tbl_rep_mon[year])))</f>
        <v>1.5208749999999995</v>
      </c>
      <c r="L858" s="35">
        <f t="shared" si="96"/>
        <v>0.42</v>
      </c>
      <c r="M858" s="37">
        <f t="shared" si="97"/>
        <v>16332.040199999998</v>
      </c>
    </row>
    <row r="859" spans="1:13" x14ac:dyDescent="0.4">
      <c r="A859" t="s">
        <v>38</v>
      </c>
      <c r="B859">
        <v>2</v>
      </c>
      <c r="C859" s="36">
        <v>79668.38</v>
      </c>
      <c r="D859" s="1">
        <v>45474</v>
      </c>
      <c r="E859" s="35">
        <f t="shared" si="91"/>
        <v>0.51</v>
      </c>
      <c r="F859" s="37">
        <f t="shared" si="92"/>
        <v>39834.19</v>
      </c>
      <c r="G859" s="37">
        <f t="shared" si="93"/>
        <v>20315.436900000001</v>
      </c>
      <c r="H859" s="36" cm="1">
        <f t="array" ref="H859">SUMPRODUCT((C859&gt;tier_floor)*((C859-tier_floor)*step)*margin_rate)</f>
        <v>13690.436900000002</v>
      </c>
      <c r="I859" s="37">
        <f t="shared" si="94"/>
        <v>6624.9999999999982</v>
      </c>
      <c r="J859" s="38">
        <f t="shared" si="95"/>
        <v>2024</v>
      </c>
      <c r="K859" s="128">
        <f>(1+target)^($J859-(MIN(tbl_rep_mon[year])))</f>
        <v>1.5208749999999995</v>
      </c>
      <c r="L859" s="35">
        <f t="shared" si="96"/>
        <v>0.42</v>
      </c>
      <c r="M859" s="37">
        <f t="shared" si="97"/>
        <v>16730.359800000002</v>
      </c>
    </row>
    <row r="860" spans="1:13" x14ac:dyDescent="0.4">
      <c r="A860" t="s">
        <v>39</v>
      </c>
      <c r="B860">
        <v>2</v>
      </c>
      <c r="C860" s="36">
        <v>76219.23</v>
      </c>
      <c r="D860" s="1">
        <v>45474</v>
      </c>
      <c r="E860" s="35">
        <f t="shared" si="91"/>
        <v>0.51</v>
      </c>
      <c r="F860" s="37">
        <f t="shared" si="92"/>
        <v>38109.614999999998</v>
      </c>
      <c r="G860" s="37">
        <f t="shared" si="93"/>
        <v>19435.90365</v>
      </c>
      <c r="H860" s="36" cm="1">
        <f t="array" ref="H860">SUMPRODUCT((C860&gt;tier_floor)*((C860-tier_floor)*step)*margin_rate)</f>
        <v>12810.90365</v>
      </c>
      <c r="I860" s="37">
        <f t="shared" si="94"/>
        <v>6625</v>
      </c>
      <c r="J860" s="38">
        <f t="shared" si="95"/>
        <v>2024</v>
      </c>
      <c r="K860" s="128">
        <f>(1+target)^($J860-(MIN(tbl_rep_mon[year])))</f>
        <v>1.5208749999999995</v>
      </c>
      <c r="L860" s="35">
        <f t="shared" si="96"/>
        <v>0.42</v>
      </c>
      <c r="M860" s="37">
        <f t="shared" si="97"/>
        <v>16006.038299999998</v>
      </c>
    </row>
    <row r="861" spans="1:13" x14ac:dyDescent="0.4">
      <c r="A861" t="s">
        <v>40</v>
      </c>
      <c r="B861">
        <v>4</v>
      </c>
      <c r="C861" s="36">
        <v>68539.850000000006</v>
      </c>
      <c r="D861" s="1">
        <v>45474</v>
      </c>
      <c r="E861" s="35">
        <f t="shared" si="91"/>
        <v>0.42</v>
      </c>
      <c r="F861" s="37">
        <f t="shared" si="92"/>
        <v>34269.925000000003</v>
      </c>
      <c r="G861" s="37">
        <f t="shared" si="93"/>
        <v>14393.3685</v>
      </c>
      <c r="H861" s="36" cm="1">
        <f t="array" ref="H861">SUMPRODUCT((C861&gt;tier_floor)*((C861-tier_floor)*step)*margin_rate)</f>
        <v>11143.368500000002</v>
      </c>
      <c r="I861" s="37">
        <f t="shared" si="94"/>
        <v>3249.9999999999982</v>
      </c>
      <c r="J861" s="38">
        <f t="shared" si="95"/>
        <v>2024</v>
      </c>
      <c r="K861" s="128">
        <f>(1+target)^($J861-(MIN(tbl_rep_mon[year])))</f>
        <v>1.5208749999999995</v>
      </c>
      <c r="L861" s="35">
        <f t="shared" si="96"/>
        <v>0.33</v>
      </c>
      <c r="M861" s="37">
        <f t="shared" si="97"/>
        <v>11309.075250000002</v>
      </c>
    </row>
    <row r="862" spans="1:13" x14ac:dyDescent="0.4">
      <c r="A862" t="s">
        <v>41</v>
      </c>
      <c r="B862">
        <v>2</v>
      </c>
      <c r="C862" s="36">
        <v>26564.75</v>
      </c>
      <c r="D862" s="1">
        <v>45474</v>
      </c>
      <c r="E862" s="35">
        <f t="shared" si="91"/>
        <v>0.33</v>
      </c>
      <c r="F862" s="37">
        <f t="shared" si="92"/>
        <v>13282.375</v>
      </c>
      <c r="G862" s="37">
        <f t="shared" si="93"/>
        <v>4383.1837500000001</v>
      </c>
      <c r="H862" s="36" cm="1">
        <f t="array" ref="H862">SUMPRODUCT((C862&gt;tier_floor)*((C862-tier_floor)*step)*margin_rate)</f>
        <v>3383.1837500000001</v>
      </c>
      <c r="I862" s="37">
        <f t="shared" si="94"/>
        <v>1000</v>
      </c>
      <c r="J862" s="38">
        <f t="shared" si="95"/>
        <v>2024</v>
      </c>
      <c r="K862" s="128">
        <f>(1+target)^($J862-(MIN(tbl_rep_mon[year])))</f>
        <v>1.5208749999999995</v>
      </c>
      <c r="L862" s="35">
        <f t="shared" si="96"/>
        <v>0.25</v>
      </c>
      <c r="M862" s="37">
        <f t="shared" si="97"/>
        <v>3320.59375</v>
      </c>
    </row>
    <row r="863" spans="1:13" x14ac:dyDescent="0.4">
      <c r="A863" t="s">
        <v>6</v>
      </c>
      <c r="B863">
        <v>2</v>
      </c>
      <c r="C863" s="36">
        <v>67232.69</v>
      </c>
      <c r="D863" s="1">
        <v>45505</v>
      </c>
      <c r="E863" s="35">
        <f t="shared" si="91"/>
        <v>0.42</v>
      </c>
      <c r="F863" s="37">
        <f t="shared" si="92"/>
        <v>33616.345000000001</v>
      </c>
      <c r="G863" s="37">
        <f t="shared" si="93"/>
        <v>14118.8649</v>
      </c>
      <c r="H863" s="36" cm="1">
        <f t="array" ref="H863">SUMPRODUCT((C863&gt;tier_floor)*((C863-tier_floor)*step)*margin_rate)</f>
        <v>10868.8649</v>
      </c>
      <c r="I863" s="37">
        <f t="shared" si="94"/>
        <v>3250</v>
      </c>
      <c r="J863" s="38">
        <f t="shared" si="95"/>
        <v>2024</v>
      </c>
      <c r="K863" s="128">
        <f>(1+target)^($J863-(MIN(tbl_rep_mon[year])))</f>
        <v>1.5208749999999995</v>
      </c>
      <c r="L863" s="35">
        <f t="shared" si="96"/>
        <v>0.33</v>
      </c>
      <c r="M863" s="37">
        <f t="shared" si="97"/>
        <v>11093.39385</v>
      </c>
    </row>
    <row r="864" spans="1:13" x14ac:dyDescent="0.4">
      <c r="A864" t="s">
        <v>7</v>
      </c>
      <c r="B864">
        <v>4</v>
      </c>
      <c r="C864" s="36">
        <v>67012.02</v>
      </c>
      <c r="D864" s="1">
        <v>45505</v>
      </c>
      <c r="E864" s="35">
        <f t="shared" si="91"/>
        <v>0.42</v>
      </c>
      <c r="F864" s="37">
        <f t="shared" si="92"/>
        <v>33506.01</v>
      </c>
      <c r="G864" s="37">
        <f t="shared" si="93"/>
        <v>14072.5242</v>
      </c>
      <c r="H864" s="36" cm="1">
        <f t="array" ref="H864">SUMPRODUCT((C864&gt;tier_floor)*((C864-tier_floor)*step)*margin_rate)</f>
        <v>10822.524200000002</v>
      </c>
      <c r="I864" s="37">
        <f t="shared" si="94"/>
        <v>3249.9999999999982</v>
      </c>
      <c r="J864" s="38">
        <f t="shared" si="95"/>
        <v>2024</v>
      </c>
      <c r="K864" s="128">
        <f>(1+target)^($J864-(MIN(tbl_rep_mon[year])))</f>
        <v>1.5208749999999995</v>
      </c>
      <c r="L864" s="35">
        <f t="shared" si="96"/>
        <v>0.33</v>
      </c>
      <c r="M864" s="37">
        <f t="shared" si="97"/>
        <v>11056.983300000002</v>
      </c>
    </row>
    <row r="865" spans="1:13" x14ac:dyDescent="0.4">
      <c r="A865" t="s">
        <v>8</v>
      </c>
      <c r="B865">
        <v>4</v>
      </c>
      <c r="C865" s="36">
        <v>70610.759999999995</v>
      </c>
      <c r="D865" s="1">
        <v>45505</v>
      </c>
      <c r="E865" s="35">
        <f t="shared" si="91"/>
        <v>0.42</v>
      </c>
      <c r="F865" s="37">
        <f t="shared" si="92"/>
        <v>35305.379999999997</v>
      </c>
      <c r="G865" s="37">
        <f t="shared" si="93"/>
        <v>14828.259599999998</v>
      </c>
      <c r="H865" s="36" cm="1">
        <f t="array" ref="H865">SUMPRODUCT((C865&gt;tier_floor)*((C865-tier_floor)*step)*margin_rate)</f>
        <v>11578.259599999998</v>
      </c>
      <c r="I865" s="37">
        <f t="shared" si="94"/>
        <v>3250</v>
      </c>
      <c r="J865" s="38">
        <f t="shared" si="95"/>
        <v>2024</v>
      </c>
      <c r="K865" s="128">
        <f>(1+target)^($J865-(MIN(tbl_rep_mon[year])))</f>
        <v>1.5208749999999995</v>
      </c>
      <c r="L865" s="35">
        <f t="shared" si="96"/>
        <v>0.33</v>
      </c>
      <c r="M865" s="37">
        <f t="shared" si="97"/>
        <v>11650.7754</v>
      </c>
    </row>
    <row r="866" spans="1:13" x14ac:dyDescent="0.4">
      <c r="A866" t="s">
        <v>15</v>
      </c>
      <c r="B866">
        <v>3</v>
      </c>
      <c r="C866" s="36">
        <v>86317.38</v>
      </c>
      <c r="D866" s="1">
        <v>45505</v>
      </c>
      <c r="E866" s="35">
        <f t="shared" si="91"/>
        <v>0.51</v>
      </c>
      <c r="F866" s="37">
        <f t="shared" si="92"/>
        <v>43158.69</v>
      </c>
      <c r="G866" s="37">
        <f t="shared" si="93"/>
        <v>22010.931900000003</v>
      </c>
      <c r="H866" s="36" cm="1">
        <f t="array" ref="H866">SUMPRODUCT((C866&gt;tier_floor)*((C866-tier_floor)*step)*margin_rate)</f>
        <v>15385.931900000001</v>
      </c>
      <c r="I866" s="37">
        <f t="shared" si="94"/>
        <v>6625.0000000000018</v>
      </c>
      <c r="J866" s="38">
        <f t="shared" si="95"/>
        <v>2024</v>
      </c>
      <c r="K866" s="128">
        <f>(1+target)^($J866-(MIN(tbl_rep_mon[year])))</f>
        <v>1.5208749999999995</v>
      </c>
      <c r="L866" s="35">
        <f t="shared" si="96"/>
        <v>0.42</v>
      </c>
      <c r="M866" s="37">
        <f t="shared" si="97"/>
        <v>18126.649799999999</v>
      </c>
    </row>
    <row r="867" spans="1:13" x14ac:dyDescent="0.4">
      <c r="A867" t="s">
        <v>16</v>
      </c>
      <c r="B867">
        <v>3</v>
      </c>
      <c r="C867" s="36">
        <v>43905.3</v>
      </c>
      <c r="D867" s="1">
        <v>45505</v>
      </c>
      <c r="E867" s="35">
        <f t="shared" si="91"/>
        <v>0.33</v>
      </c>
      <c r="F867" s="37">
        <f t="shared" si="92"/>
        <v>21952.65</v>
      </c>
      <c r="G867" s="37">
        <f t="shared" si="93"/>
        <v>7244.3745000000008</v>
      </c>
      <c r="H867" s="36" cm="1">
        <f t="array" ref="H867">SUMPRODUCT((C867&gt;tier_floor)*((C867-tier_floor)*step)*margin_rate)</f>
        <v>6244.3745000000008</v>
      </c>
      <c r="I867" s="37">
        <f t="shared" si="94"/>
        <v>1000</v>
      </c>
      <c r="J867" s="38">
        <f t="shared" si="95"/>
        <v>2024</v>
      </c>
      <c r="K867" s="128">
        <f>(1+target)^($J867-(MIN(tbl_rep_mon[year])))</f>
        <v>1.5208749999999995</v>
      </c>
      <c r="L867" s="35">
        <f t="shared" si="96"/>
        <v>0.33</v>
      </c>
      <c r="M867" s="37">
        <f t="shared" si="97"/>
        <v>7244.3745000000008</v>
      </c>
    </row>
    <row r="868" spans="1:13" x14ac:dyDescent="0.4">
      <c r="A868" t="s">
        <v>18</v>
      </c>
      <c r="B868">
        <v>3</v>
      </c>
      <c r="C868" s="36">
        <v>97092.72</v>
      </c>
      <c r="D868" s="1">
        <v>45505</v>
      </c>
      <c r="E868" s="35">
        <f t="shared" si="91"/>
        <v>0.51</v>
      </c>
      <c r="F868" s="37">
        <f t="shared" si="92"/>
        <v>48546.36</v>
      </c>
      <c r="G868" s="37">
        <f t="shared" si="93"/>
        <v>24758.643599999999</v>
      </c>
      <c r="H868" s="36" cm="1">
        <f t="array" ref="H868">SUMPRODUCT((C868&gt;tier_floor)*((C868-tier_floor)*step)*margin_rate)</f>
        <v>18133.643599999999</v>
      </c>
      <c r="I868" s="37">
        <f t="shared" si="94"/>
        <v>6625</v>
      </c>
      <c r="J868" s="38">
        <f t="shared" si="95"/>
        <v>2024</v>
      </c>
      <c r="K868" s="128">
        <f>(1+target)^($J868-(MIN(tbl_rep_mon[year])))</f>
        <v>1.5208749999999995</v>
      </c>
      <c r="L868" s="35">
        <f t="shared" si="96"/>
        <v>0.42</v>
      </c>
      <c r="M868" s="37">
        <f t="shared" si="97"/>
        <v>20389.4712</v>
      </c>
    </row>
    <row r="869" spans="1:13" x14ac:dyDescent="0.4">
      <c r="A869" t="s">
        <v>19</v>
      </c>
      <c r="B869">
        <v>4</v>
      </c>
      <c r="C869" s="36">
        <v>65581.350000000006</v>
      </c>
      <c r="D869" s="1">
        <v>45505</v>
      </c>
      <c r="E869" s="35">
        <f t="shared" si="91"/>
        <v>0.42</v>
      </c>
      <c r="F869" s="37">
        <f t="shared" si="92"/>
        <v>32790.675000000003</v>
      </c>
      <c r="G869" s="37">
        <f t="shared" si="93"/>
        <v>13772.083500000001</v>
      </c>
      <c r="H869" s="36" cm="1">
        <f t="array" ref="H869">SUMPRODUCT((C869&gt;tier_floor)*((C869-tier_floor)*step)*margin_rate)</f>
        <v>10522.083500000001</v>
      </c>
      <c r="I869" s="37">
        <f t="shared" si="94"/>
        <v>3250</v>
      </c>
      <c r="J869" s="38">
        <f t="shared" si="95"/>
        <v>2024</v>
      </c>
      <c r="K869" s="128">
        <f>(1+target)^($J869-(MIN(tbl_rep_mon[year])))</f>
        <v>1.5208749999999995</v>
      </c>
      <c r="L869" s="35">
        <f t="shared" si="96"/>
        <v>0.33</v>
      </c>
      <c r="M869" s="37">
        <f t="shared" si="97"/>
        <v>10820.922750000002</v>
      </c>
    </row>
    <row r="870" spans="1:13" x14ac:dyDescent="0.4">
      <c r="A870" t="s">
        <v>23</v>
      </c>
      <c r="B870">
        <v>1</v>
      </c>
      <c r="C870" s="36">
        <v>140809.85</v>
      </c>
      <c r="D870" s="1">
        <v>45505</v>
      </c>
      <c r="E870" s="35">
        <f t="shared" si="91"/>
        <v>0.6</v>
      </c>
      <c r="F870" s="37">
        <f t="shared" si="92"/>
        <v>70404.925000000003</v>
      </c>
      <c r="G870" s="37">
        <f t="shared" si="93"/>
        <v>42242.955000000002</v>
      </c>
      <c r="H870" s="36" cm="1">
        <f t="array" ref="H870">SUMPRODUCT((C870&gt;tier_floor)*((C870-tier_floor)*step)*margin_rate)</f>
        <v>31117.955000000002</v>
      </c>
      <c r="I870" s="37">
        <f t="shared" si="94"/>
        <v>11125</v>
      </c>
      <c r="J870" s="38">
        <f t="shared" si="95"/>
        <v>2024</v>
      </c>
      <c r="K870" s="128">
        <f>(1+target)^($J870-(MIN(tbl_rep_mon[year])))</f>
        <v>1.5208749999999995</v>
      </c>
      <c r="L870" s="35">
        <f t="shared" si="96"/>
        <v>0.51</v>
      </c>
      <c r="M870" s="37">
        <f t="shared" si="97"/>
        <v>35906.511750000005</v>
      </c>
    </row>
    <row r="871" spans="1:13" x14ac:dyDescent="0.4">
      <c r="A871" t="s">
        <v>24</v>
      </c>
      <c r="B871">
        <v>3</v>
      </c>
      <c r="C871" s="36">
        <v>75458.31</v>
      </c>
      <c r="D871" s="1">
        <v>45505</v>
      </c>
      <c r="E871" s="35">
        <f t="shared" si="91"/>
        <v>0.51</v>
      </c>
      <c r="F871" s="37">
        <f t="shared" si="92"/>
        <v>37729.154999999999</v>
      </c>
      <c r="G871" s="37">
        <f t="shared" si="93"/>
        <v>19241.869050000001</v>
      </c>
      <c r="H871" s="36" cm="1">
        <f t="array" ref="H871">SUMPRODUCT((C871&gt;tier_floor)*((C871-tier_floor)*step)*margin_rate)</f>
        <v>12616.869049999998</v>
      </c>
      <c r="I871" s="37">
        <f t="shared" si="94"/>
        <v>6625.0000000000036</v>
      </c>
      <c r="J871" s="38">
        <f t="shared" si="95"/>
        <v>2024</v>
      </c>
      <c r="K871" s="128">
        <f>(1+target)^($J871-(MIN(tbl_rep_mon[year])))</f>
        <v>1.5208749999999995</v>
      </c>
      <c r="L871" s="35">
        <f t="shared" si="96"/>
        <v>0.33</v>
      </c>
      <c r="M871" s="37">
        <f t="shared" si="97"/>
        <v>12450.621150000001</v>
      </c>
    </row>
    <row r="872" spans="1:13" x14ac:dyDescent="0.4">
      <c r="A872" t="s">
        <v>25</v>
      </c>
      <c r="B872">
        <v>2</v>
      </c>
      <c r="C872" s="36">
        <v>99082.85</v>
      </c>
      <c r="D872" s="1">
        <v>45505</v>
      </c>
      <c r="E872" s="35">
        <f t="shared" si="91"/>
        <v>0.51</v>
      </c>
      <c r="F872" s="37">
        <f t="shared" si="92"/>
        <v>49541.425000000003</v>
      </c>
      <c r="G872" s="37">
        <f t="shared" si="93"/>
        <v>25266.126750000003</v>
      </c>
      <c r="H872" s="36" cm="1">
        <f t="array" ref="H872">SUMPRODUCT((C872&gt;tier_floor)*((C872-tier_floor)*step)*margin_rate)</f>
        <v>18641.126749999999</v>
      </c>
      <c r="I872" s="37">
        <f t="shared" si="94"/>
        <v>6625.0000000000036</v>
      </c>
      <c r="J872" s="38">
        <f t="shared" si="95"/>
        <v>2024</v>
      </c>
      <c r="K872" s="128">
        <f>(1+target)^($J872-(MIN(tbl_rep_mon[year])))</f>
        <v>1.5208749999999995</v>
      </c>
      <c r="L872" s="35">
        <f t="shared" si="96"/>
        <v>0.42</v>
      </c>
      <c r="M872" s="37">
        <f t="shared" si="97"/>
        <v>20807.398499999999</v>
      </c>
    </row>
    <row r="873" spans="1:13" x14ac:dyDescent="0.4">
      <c r="A873" t="s">
        <v>29</v>
      </c>
      <c r="B873">
        <v>1</v>
      </c>
      <c r="C873" s="36">
        <v>126996.19</v>
      </c>
      <c r="D873" s="1">
        <v>45505</v>
      </c>
      <c r="E873" s="35">
        <f t="shared" si="91"/>
        <v>0.6</v>
      </c>
      <c r="F873" s="37">
        <f t="shared" si="92"/>
        <v>63498.095000000001</v>
      </c>
      <c r="G873" s="37">
        <f t="shared" si="93"/>
        <v>38098.856999999996</v>
      </c>
      <c r="H873" s="36" cm="1">
        <f t="array" ref="H873">SUMPRODUCT((C873&gt;tier_floor)*((C873-tier_floor)*step)*margin_rate)</f>
        <v>26973.857</v>
      </c>
      <c r="I873" s="37">
        <f t="shared" si="94"/>
        <v>11124.999999999996</v>
      </c>
      <c r="J873" s="38">
        <f t="shared" si="95"/>
        <v>2024</v>
      </c>
      <c r="K873" s="128">
        <f>(1+target)^($J873-(MIN(tbl_rep_mon[year])))</f>
        <v>1.5208749999999995</v>
      </c>
      <c r="L873" s="35">
        <f t="shared" si="96"/>
        <v>0.51</v>
      </c>
      <c r="M873" s="37">
        <f t="shared" si="97"/>
        <v>32384.028450000002</v>
      </c>
    </row>
    <row r="874" spans="1:13" x14ac:dyDescent="0.4">
      <c r="A874" t="s">
        <v>32</v>
      </c>
      <c r="B874">
        <v>4</v>
      </c>
      <c r="C874" s="36">
        <v>82171.34</v>
      </c>
      <c r="D874" s="1">
        <v>45505</v>
      </c>
      <c r="E874" s="35">
        <f t="shared" si="91"/>
        <v>0.51</v>
      </c>
      <c r="F874" s="37">
        <f t="shared" si="92"/>
        <v>41085.67</v>
      </c>
      <c r="G874" s="37">
        <f t="shared" si="93"/>
        <v>20953.691699999999</v>
      </c>
      <c r="H874" s="36" cm="1">
        <f t="array" ref="H874">SUMPRODUCT((C874&gt;tier_floor)*((C874-tier_floor)*step)*margin_rate)</f>
        <v>14328.691699999999</v>
      </c>
      <c r="I874" s="37">
        <f t="shared" si="94"/>
        <v>6625</v>
      </c>
      <c r="J874" s="38">
        <f t="shared" si="95"/>
        <v>2024</v>
      </c>
      <c r="K874" s="128">
        <f>(1+target)^($J874-(MIN(tbl_rep_mon[year])))</f>
        <v>1.5208749999999995</v>
      </c>
      <c r="L874" s="35">
        <f t="shared" si="96"/>
        <v>0.42</v>
      </c>
      <c r="M874" s="37">
        <f t="shared" si="97"/>
        <v>17255.981399999997</v>
      </c>
    </row>
    <row r="875" spans="1:13" x14ac:dyDescent="0.4">
      <c r="A875" t="s">
        <v>33</v>
      </c>
      <c r="B875">
        <v>3</v>
      </c>
      <c r="C875" s="36">
        <v>76102.25</v>
      </c>
      <c r="D875" s="1">
        <v>45505</v>
      </c>
      <c r="E875" s="35">
        <f t="shared" si="91"/>
        <v>0.51</v>
      </c>
      <c r="F875" s="37">
        <f t="shared" si="92"/>
        <v>38051.125</v>
      </c>
      <c r="G875" s="37">
        <f t="shared" si="93"/>
        <v>19406.07375</v>
      </c>
      <c r="H875" s="36" cm="1">
        <f t="array" ref="H875">SUMPRODUCT((C875&gt;tier_floor)*((C875-tier_floor)*step)*margin_rate)</f>
        <v>12781.07375</v>
      </c>
      <c r="I875" s="37">
        <f t="shared" si="94"/>
        <v>6625</v>
      </c>
      <c r="J875" s="38">
        <f t="shared" si="95"/>
        <v>2024</v>
      </c>
      <c r="K875" s="128">
        <f>(1+target)^($J875-(MIN(tbl_rep_mon[year])))</f>
        <v>1.5208749999999995</v>
      </c>
      <c r="L875" s="35">
        <f t="shared" si="96"/>
        <v>0.42</v>
      </c>
      <c r="M875" s="37">
        <f t="shared" si="97"/>
        <v>15981.4725</v>
      </c>
    </row>
    <row r="876" spans="1:13" x14ac:dyDescent="0.4">
      <c r="A876" t="s">
        <v>34</v>
      </c>
      <c r="B876">
        <v>4</v>
      </c>
      <c r="C876" s="36">
        <v>75743.19</v>
      </c>
      <c r="D876" s="1">
        <v>45505</v>
      </c>
      <c r="E876" s="35">
        <f t="shared" si="91"/>
        <v>0.51</v>
      </c>
      <c r="F876" s="37">
        <f t="shared" si="92"/>
        <v>37871.595000000001</v>
      </c>
      <c r="G876" s="37">
        <f t="shared" si="93"/>
        <v>19314.513450000002</v>
      </c>
      <c r="H876" s="36" cm="1">
        <f t="array" ref="H876">SUMPRODUCT((C876&gt;tier_floor)*((C876-tier_floor)*step)*margin_rate)</f>
        <v>12689.51345</v>
      </c>
      <c r="I876" s="37">
        <f t="shared" si="94"/>
        <v>6625.0000000000018</v>
      </c>
      <c r="J876" s="38">
        <f t="shared" si="95"/>
        <v>2024</v>
      </c>
      <c r="K876" s="128">
        <f>(1+target)^($J876-(MIN(tbl_rep_mon[year])))</f>
        <v>1.5208749999999995</v>
      </c>
      <c r="L876" s="35">
        <f t="shared" si="96"/>
        <v>0.33</v>
      </c>
      <c r="M876" s="37">
        <f t="shared" si="97"/>
        <v>12497.62635</v>
      </c>
    </row>
    <row r="877" spans="1:13" x14ac:dyDescent="0.4">
      <c r="A877" t="s">
        <v>35</v>
      </c>
      <c r="B877">
        <v>4</v>
      </c>
      <c r="C877" s="36">
        <v>73669.509999999995</v>
      </c>
      <c r="D877" s="1">
        <v>45505</v>
      </c>
      <c r="E877" s="35">
        <f t="shared" si="91"/>
        <v>0.42</v>
      </c>
      <c r="F877" s="37">
        <f t="shared" si="92"/>
        <v>36834.754999999997</v>
      </c>
      <c r="G877" s="37">
        <f t="shared" si="93"/>
        <v>15470.597099999999</v>
      </c>
      <c r="H877" s="36" cm="1">
        <f t="array" ref="H877">SUMPRODUCT((C877&gt;tier_floor)*((C877-tier_floor)*step)*margin_rate)</f>
        <v>12220.597099999999</v>
      </c>
      <c r="I877" s="37">
        <f t="shared" si="94"/>
        <v>3250</v>
      </c>
      <c r="J877" s="38">
        <f t="shared" si="95"/>
        <v>2024</v>
      </c>
      <c r="K877" s="128">
        <f>(1+target)^($J877-(MIN(tbl_rep_mon[year])))</f>
        <v>1.5208749999999995</v>
      </c>
      <c r="L877" s="35">
        <f t="shared" si="96"/>
        <v>0.33</v>
      </c>
      <c r="M877" s="37">
        <f t="shared" si="97"/>
        <v>12155.469149999999</v>
      </c>
    </row>
    <row r="878" spans="1:13" x14ac:dyDescent="0.4">
      <c r="A878" t="s">
        <v>37</v>
      </c>
      <c r="B878">
        <v>4</v>
      </c>
      <c r="C878" s="36">
        <v>77748.63</v>
      </c>
      <c r="D878" s="1">
        <v>45505</v>
      </c>
      <c r="E878" s="35">
        <f t="shared" si="91"/>
        <v>0.51</v>
      </c>
      <c r="F878" s="37">
        <f t="shared" si="92"/>
        <v>38874.315000000002</v>
      </c>
      <c r="G878" s="37">
        <f t="shared" si="93"/>
        <v>19825.900650000003</v>
      </c>
      <c r="H878" s="36" cm="1">
        <f t="array" ref="H878">SUMPRODUCT((C878&gt;tier_floor)*((C878-tier_floor)*step)*margin_rate)</f>
        <v>13200.900650000001</v>
      </c>
      <c r="I878" s="37">
        <f t="shared" si="94"/>
        <v>6625.0000000000018</v>
      </c>
      <c r="J878" s="38">
        <f t="shared" si="95"/>
        <v>2024</v>
      </c>
      <c r="K878" s="128">
        <f>(1+target)^($J878-(MIN(tbl_rep_mon[year])))</f>
        <v>1.5208749999999995</v>
      </c>
      <c r="L878" s="35">
        <f t="shared" si="96"/>
        <v>0.42</v>
      </c>
      <c r="M878" s="37">
        <f t="shared" si="97"/>
        <v>16327.212300000001</v>
      </c>
    </row>
    <row r="879" spans="1:13" x14ac:dyDescent="0.4">
      <c r="A879" t="s">
        <v>38</v>
      </c>
      <c r="B879">
        <v>2</v>
      </c>
      <c r="C879" s="36">
        <v>86629.11</v>
      </c>
      <c r="D879" s="1">
        <v>45505</v>
      </c>
      <c r="E879" s="35">
        <f t="shared" si="91"/>
        <v>0.51</v>
      </c>
      <c r="F879" s="37">
        <f t="shared" si="92"/>
        <v>43314.555</v>
      </c>
      <c r="G879" s="37">
        <f t="shared" si="93"/>
        <v>22090.423050000001</v>
      </c>
      <c r="H879" s="36" cm="1">
        <f t="array" ref="H879">SUMPRODUCT((C879&gt;tier_floor)*((C879-tier_floor)*step)*margin_rate)</f>
        <v>15465.423049999999</v>
      </c>
      <c r="I879" s="37">
        <f t="shared" si="94"/>
        <v>6625.0000000000018</v>
      </c>
      <c r="J879" s="38">
        <f t="shared" si="95"/>
        <v>2024</v>
      </c>
      <c r="K879" s="128">
        <f>(1+target)^($J879-(MIN(tbl_rep_mon[year])))</f>
        <v>1.5208749999999995</v>
      </c>
      <c r="L879" s="35">
        <f t="shared" si="96"/>
        <v>0.42</v>
      </c>
      <c r="M879" s="37">
        <f t="shared" si="97"/>
        <v>18192.113099999999</v>
      </c>
    </row>
    <row r="880" spans="1:13" x14ac:dyDescent="0.4">
      <c r="A880" t="s">
        <v>39</v>
      </c>
      <c r="B880">
        <v>2</v>
      </c>
      <c r="C880" s="36">
        <v>80334.179999999993</v>
      </c>
      <c r="D880" s="1">
        <v>45505</v>
      </c>
      <c r="E880" s="35">
        <f t="shared" si="91"/>
        <v>0.51</v>
      </c>
      <c r="F880" s="37">
        <f t="shared" si="92"/>
        <v>40167.089999999997</v>
      </c>
      <c r="G880" s="37">
        <f t="shared" si="93"/>
        <v>20485.215899999999</v>
      </c>
      <c r="H880" s="36" cm="1">
        <f t="array" ref="H880">SUMPRODUCT((C880&gt;tier_floor)*((C880-tier_floor)*step)*margin_rate)</f>
        <v>13860.215899999999</v>
      </c>
      <c r="I880" s="37">
        <f t="shared" si="94"/>
        <v>6625</v>
      </c>
      <c r="J880" s="38">
        <f t="shared" si="95"/>
        <v>2024</v>
      </c>
      <c r="K880" s="128">
        <f>(1+target)^($J880-(MIN(tbl_rep_mon[year])))</f>
        <v>1.5208749999999995</v>
      </c>
      <c r="L880" s="35">
        <f t="shared" si="96"/>
        <v>0.42</v>
      </c>
      <c r="M880" s="37">
        <f t="shared" si="97"/>
        <v>16870.177799999998</v>
      </c>
    </row>
    <row r="881" spans="1:13" x14ac:dyDescent="0.4">
      <c r="A881" t="s">
        <v>40</v>
      </c>
      <c r="B881">
        <v>4</v>
      </c>
      <c r="C881" s="36">
        <v>71108.19</v>
      </c>
      <c r="D881" s="1">
        <v>45505</v>
      </c>
      <c r="E881" s="35">
        <f t="shared" si="91"/>
        <v>0.42</v>
      </c>
      <c r="F881" s="37">
        <f t="shared" si="92"/>
        <v>35554.095000000001</v>
      </c>
      <c r="G881" s="37">
        <f t="shared" si="93"/>
        <v>14932.7199</v>
      </c>
      <c r="H881" s="36" cm="1">
        <f t="array" ref="H881">SUMPRODUCT((C881&gt;tier_floor)*((C881-tier_floor)*step)*margin_rate)</f>
        <v>11682.7199</v>
      </c>
      <c r="I881" s="37">
        <f t="shared" si="94"/>
        <v>3250</v>
      </c>
      <c r="J881" s="38">
        <f t="shared" si="95"/>
        <v>2024</v>
      </c>
      <c r="K881" s="128">
        <f>(1+target)^($J881-(MIN(tbl_rep_mon[year])))</f>
        <v>1.5208749999999995</v>
      </c>
      <c r="L881" s="35">
        <f t="shared" si="96"/>
        <v>0.33</v>
      </c>
      <c r="M881" s="37">
        <f t="shared" si="97"/>
        <v>11732.851350000001</v>
      </c>
    </row>
    <row r="882" spans="1:13" x14ac:dyDescent="0.4">
      <c r="A882" t="s">
        <v>41</v>
      </c>
      <c r="B882">
        <v>2</v>
      </c>
      <c r="C882" s="36">
        <v>115446.68</v>
      </c>
      <c r="D882" s="1">
        <v>45505</v>
      </c>
      <c r="E882" s="35">
        <f t="shared" si="91"/>
        <v>0.6</v>
      </c>
      <c r="F882" s="37">
        <f t="shared" si="92"/>
        <v>57723.34</v>
      </c>
      <c r="G882" s="37">
        <f t="shared" si="93"/>
        <v>34634.003999999994</v>
      </c>
      <c r="H882" s="36" cm="1">
        <f t="array" ref="H882">SUMPRODUCT((C882&gt;tier_floor)*((C882-tier_floor)*step)*margin_rate)</f>
        <v>23509.003999999997</v>
      </c>
      <c r="I882" s="37">
        <f t="shared" si="94"/>
        <v>11124.999999999996</v>
      </c>
      <c r="J882" s="38">
        <f t="shared" si="95"/>
        <v>2024</v>
      </c>
      <c r="K882" s="128">
        <f>(1+target)^($J882-(MIN(tbl_rep_mon[year])))</f>
        <v>1.5208749999999995</v>
      </c>
      <c r="L882" s="35">
        <f t="shared" si="96"/>
        <v>0.51</v>
      </c>
      <c r="M882" s="37">
        <f t="shared" si="97"/>
        <v>29438.903399999999</v>
      </c>
    </row>
    <row r="883" spans="1:13" x14ac:dyDescent="0.4">
      <c r="A883" t="s">
        <v>6</v>
      </c>
      <c r="B883">
        <v>2</v>
      </c>
      <c r="C883" s="36">
        <v>71341.320000000007</v>
      </c>
      <c r="D883" s="1">
        <v>45536</v>
      </c>
      <c r="E883" s="35">
        <f t="shared" si="91"/>
        <v>0.42</v>
      </c>
      <c r="F883" s="37">
        <f t="shared" si="92"/>
        <v>35670.660000000003</v>
      </c>
      <c r="G883" s="37">
        <f t="shared" si="93"/>
        <v>14981.6772</v>
      </c>
      <c r="H883" s="36" cm="1">
        <f t="array" ref="H883">SUMPRODUCT((C883&gt;tier_floor)*((C883-tier_floor)*step)*margin_rate)</f>
        <v>11731.6772</v>
      </c>
      <c r="I883" s="37">
        <f t="shared" si="94"/>
        <v>3250</v>
      </c>
      <c r="J883" s="38">
        <f t="shared" si="95"/>
        <v>2024</v>
      </c>
      <c r="K883" s="128">
        <f>(1+target)^($J883-(MIN(tbl_rep_mon[year])))</f>
        <v>1.5208749999999995</v>
      </c>
      <c r="L883" s="35">
        <f t="shared" si="96"/>
        <v>0.33</v>
      </c>
      <c r="M883" s="37">
        <f t="shared" si="97"/>
        <v>11771.317800000003</v>
      </c>
    </row>
    <row r="884" spans="1:13" x14ac:dyDescent="0.4">
      <c r="A884" t="s">
        <v>7</v>
      </c>
      <c r="B884">
        <v>4</v>
      </c>
      <c r="C884" s="36">
        <v>63155.86</v>
      </c>
      <c r="D884" s="1">
        <v>45536</v>
      </c>
      <c r="E884" s="35">
        <f t="shared" si="91"/>
        <v>0.42</v>
      </c>
      <c r="F884" s="37">
        <f t="shared" si="92"/>
        <v>31577.93</v>
      </c>
      <c r="G884" s="37">
        <f t="shared" si="93"/>
        <v>13262.730599999999</v>
      </c>
      <c r="H884" s="36" cm="1">
        <f t="array" ref="H884">SUMPRODUCT((C884&gt;tier_floor)*((C884-tier_floor)*step)*margin_rate)</f>
        <v>10012.730599999999</v>
      </c>
      <c r="I884" s="37">
        <f t="shared" si="94"/>
        <v>3250</v>
      </c>
      <c r="J884" s="38">
        <f t="shared" si="95"/>
        <v>2024</v>
      </c>
      <c r="K884" s="128">
        <f>(1+target)^($J884-(MIN(tbl_rep_mon[year])))</f>
        <v>1.5208749999999995</v>
      </c>
      <c r="L884" s="35">
        <f t="shared" si="96"/>
        <v>0.33</v>
      </c>
      <c r="M884" s="37">
        <f t="shared" si="97"/>
        <v>10420.716900000001</v>
      </c>
    </row>
    <row r="885" spans="1:13" x14ac:dyDescent="0.4">
      <c r="A885" t="s">
        <v>8</v>
      </c>
      <c r="B885">
        <v>4</v>
      </c>
      <c r="C885" s="36">
        <v>69187.210000000006</v>
      </c>
      <c r="D885" s="1">
        <v>45536</v>
      </c>
      <c r="E885" s="35">
        <f t="shared" si="91"/>
        <v>0.42</v>
      </c>
      <c r="F885" s="37">
        <f t="shared" si="92"/>
        <v>34593.605000000003</v>
      </c>
      <c r="G885" s="37">
        <f t="shared" si="93"/>
        <v>14529.314100000001</v>
      </c>
      <c r="H885" s="36" cm="1">
        <f t="array" ref="H885">SUMPRODUCT((C885&gt;tier_floor)*((C885-tier_floor)*step)*margin_rate)</f>
        <v>11279.314100000001</v>
      </c>
      <c r="I885" s="37">
        <f t="shared" si="94"/>
        <v>3250</v>
      </c>
      <c r="J885" s="38">
        <f t="shared" si="95"/>
        <v>2024</v>
      </c>
      <c r="K885" s="128">
        <f>(1+target)^($J885-(MIN(tbl_rep_mon[year])))</f>
        <v>1.5208749999999995</v>
      </c>
      <c r="L885" s="35">
        <f t="shared" si="96"/>
        <v>0.33</v>
      </c>
      <c r="M885" s="37">
        <f t="shared" si="97"/>
        <v>11415.889650000001</v>
      </c>
    </row>
    <row r="886" spans="1:13" x14ac:dyDescent="0.4">
      <c r="A886" t="s">
        <v>15</v>
      </c>
      <c r="B886">
        <v>3</v>
      </c>
      <c r="C886" s="36">
        <v>87700.33</v>
      </c>
      <c r="D886" s="1">
        <v>45536</v>
      </c>
      <c r="E886" s="35">
        <f t="shared" si="91"/>
        <v>0.51</v>
      </c>
      <c r="F886" s="37">
        <f t="shared" si="92"/>
        <v>43850.165000000001</v>
      </c>
      <c r="G886" s="37">
        <f t="shared" si="93"/>
        <v>22363.584150000002</v>
      </c>
      <c r="H886" s="36" cm="1">
        <f t="array" ref="H886">SUMPRODUCT((C886&gt;tier_floor)*((C886-tier_floor)*step)*margin_rate)</f>
        <v>15738.584150000001</v>
      </c>
      <c r="I886" s="37">
        <f t="shared" si="94"/>
        <v>6625.0000000000018</v>
      </c>
      <c r="J886" s="38">
        <f t="shared" si="95"/>
        <v>2024</v>
      </c>
      <c r="K886" s="128">
        <f>(1+target)^($J886-(MIN(tbl_rep_mon[year])))</f>
        <v>1.5208749999999995</v>
      </c>
      <c r="L886" s="35">
        <f t="shared" si="96"/>
        <v>0.42</v>
      </c>
      <c r="M886" s="37">
        <f t="shared" si="97"/>
        <v>18417.069299999999</v>
      </c>
    </row>
    <row r="887" spans="1:13" x14ac:dyDescent="0.4">
      <c r="A887" t="s">
        <v>18</v>
      </c>
      <c r="B887">
        <v>3</v>
      </c>
      <c r="C887" s="36">
        <v>70143.429999999993</v>
      </c>
      <c r="D887" s="1">
        <v>45536</v>
      </c>
      <c r="E887" s="35">
        <f t="shared" si="91"/>
        <v>0.42</v>
      </c>
      <c r="F887" s="37">
        <f t="shared" si="92"/>
        <v>35071.714999999997</v>
      </c>
      <c r="G887" s="37">
        <f t="shared" si="93"/>
        <v>14730.120299999999</v>
      </c>
      <c r="H887" s="36" cm="1">
        <f t="array" ref="H887">SUMPRODUCT((C887&gt;tier_floor)*((C887-tier_floor)*step)*margin_rate)</f>
        <v>11480.120299999999</v>
      </c>
      <c r="I887" s="37">
        <f t="shared" si="94"/>
        <v>3250</v>
      </c>
      <c r="J887" s="38">
        <f t="shared" si="95"/>
        <v>2024</v>
      </c>
      <c r="K887" s="128">
        <f>(1+target)^($J887-(MIN(tbl_rep_mon[year])))</f>
        <v>1.5208749999999995</v>
      </c>
      <c r="L887" s="35">
        <f t="shared" si="96"/>
        <v>0.33</v>
      </c>
      <c r="M887" s="37">
        <f t="shared" si="97"/>
        <v>11573.665949999999</v>
      </c>
    </row>
    <row r="888" spans="1:13" x14ac:dyDescent="0.4">
      <c r="A888" t="s">
        <v>19</v>
      </c>
      <c r="B888">
        <v>4</v>
      </c>
      <c r="C888" s="36">
        <v>52276.87</v>
      </c>
      <c r="D888" s="1">
        <v>45536</v>
      </c>
      <c r="E888" s="35">
        <f t="shared" si="91"/>
        <v>0.42</v>
      </c>
      <c r="F888" s="37">
        <f t="shared" si="92"/>
        <v>26138.435000000001</v>
      </c>
      <c r="G888" s="37">
        <f t="shared" si="93"/>
        <v>10978.1427</v>
      </c>
      <c r="H888" s="36" cm="1">
        <f t="array" ref="H888">SUMPRODUCT((C888&gt;tier_floor)*((C888-tier_floor)*step)*margin_rate)</f>
        <v>7728.1427000000003</v>
      </c>
      <c r="I888" s="37">
        <f t="shared" si="94"/>
        <v>3250</v>
      </c>
      <c r="J888" s="38">
        <f t="shared" si="95"/>
        <v>2024</v>
      </c>
      <c r="K888" s="128">
        <f>(1+target)^($J888-(MIN(tbl_rep_mon[year])))</f>
        <v>1.5208749999999995</v>
      </c>
      <c r="L888" s="35">
        <f t="shared" si="96"/>
        <v>0.33</v>
      </c>
      <c r="M888" s="37">
        <f t="shared" si="97"/>
        <v>8625.6835500000016</v>
      </c>
    </row>
    <row r="889" spans="1:13" x14ac:dyDescent="0.4">
      <c r="A889" t="s">
        <v>23</v>
      </c>
      <c r="B889">
        <v>1</v>
      </c>
      <c r="C889" s="36">
        <v>151030.25</v>
      </c>
      <c r="D889" s="1">
        <v>45536</v>
      </c>
      <c r="E889" s="35">
        <f t="shared" si="91"/>
        <v>0.6</v>
      </c>
      <c r="F889" s="37">
        <f t="shared" si="92"/>
        <v>75515.125</v>
      </c>
      <c r="G889" s="37">
        <f t="shared" si="93"/>
        <v>45309.074999999997</v>
      </c>
      <c r="H889" s="36" cm="1">
        <f t="array" ref="H889">SUMPRODUCT((C889&gt;tier_floor)*((C889-tier_floor)*step)*margin_rate)</f>
        <v>34184.074999999997</v>
      </c>
      <c r="I889" s="37">
        <f t="shared" si="94"/>
        <v>11125</v>
      </c>
      <c r="J889" s="38">
        <f t="shared" si="95"/>
        <v>2024</v>
      </c>
      <c r="K889" s="128">
        <f>(1+target)^($J889-(MIN(tbl_rep_mon[year])))</f>
        <v>1.5208749999999995</v>
      </c>
      <c r="L889" s="35">
        <f t="shared" si="96"/>
        <v>0.51</v>
      </c>
      <c r="M889" s="37">
        <f t="shared" si="97"/>
        <v>38512.713750000003</v>
      </c>
    </row>
    <row r="890" spans="1:13" x14ac:dyDescent="0.4">
      <c r="A890" t="s">
        <v>24</v>
      </c>
      <c r="B890">
        <v>3</v>
      </c>
      <c r="C890" s="36">
        <v>64116.24</v>
      </c>
      <c r="D890" s="1">
        <v>45536</v>
      </c>
      <c r="E890" s="35">
        <f t="shared" si="91"/>
        <v>0.42</v>
      </c>
      <c r="F890" s="37">
        <f t="shared" si="92"/>
        <v>32058.12</v>
      </c>
      <c r="G890" s="37">
        <f t="shared" si="93"/>
        <v>13464.410399999999</v>
      </c>
      <c r="H890" s="36" cm="1">
        <f t="array" ref="H890">SUMPRODUCT((C890&gt;tier_floor)*((C890-tier_floor)*step)*margin_rate)</f>
        <v>10214.410399999999</v>
      </c>
      <c r="I890" s="37">
        <f t="shared" si="94"/>
        <v>3250</v>
      </c>
      <c r="J890" s="38">
        <f t="shared" si="95"/>
        <v>2024</v>
      </c>
      <c r="K890" s="128">
        <f>(1+target)^($J890-(MIN(tbl_rep_mon[year])))</f>
        <v>1.5208749999999995</v>
      </c>
      <c r="L890" s="35">
        <f t="shared" si="96"/>
        <v>0.33</v>
      </c>
      <c r="M890" s="37">
        <f t="shared" si="97"/>
        <v>10579.179599999999</v>
      </c>
    </row>
    <row r="891" spans="1:13" x14ac:dyDescent="0.4">
      <c r="A891" t="s">
        <v>25</v>
      </c>
      <c r="B891">
        <v>2</v>
      </c>
      <c r="C891" s="36">
        <v>98562.54</v>
      </c>
      <c r="D891" s="1">
        <v>45536</v>
      </c>
      <c r="E891" s="35">
        <f t="shared" si="91"/>
        <v>0.51</v>
      </c>
      <c r="F891" s="37">
        <f t="shared" si="92"/>
        <v>49281.27</v>
      </c>
      <c r="G891" s="37">
        <f t="shared" si="93"/>
        <v>25133.447700000001</v>
      </c>
      <c r="H891" s="36" cm="1">
        <f t="array" ref="H891">SUMPRODUCT((C891&gt;tier_floor)*((C891-tier_floor)*step)*margin_rate)</f>
        <v>18508.447699999997</v>
      </c>
      <c r="I891" s="37">
        <f t="shared" si="94"/>
        <v>6625.0000000000036</v>
      </c>
      <c r="J891" s="38">
        <f t="shared" si="95"/>
        <v>2024</v>
      </c>
      <c r="K891" s="128">
        <f>(1+target)^($J891-(MIN(tbl_rep_mon[year])))</f>
        <v>1.5208749999999995</v>
      </c>
      <c r="L891" s="35">
        <f t="shared" si="96"/>
        <v>0.42</v>
      </c>
      <c r="M891" s="37">
        <f t="shared" si="97"/>
        <v>20698.133399999999</v>
      </c>
    </row>
    <row r="892" spans="1:13" x14ac:dyDescent="0.4">
      <c r="A892" t="s">
        <v>29</v>
      </c>
      <c r="B892">
        <v>1</v>
      </c>
      <c r="C892" s="36">
        <v>141996.35999999999</v>
      </c>
      <c r="D892" s="1">
        <v>45536</v>
      </c>
      <c r="E892" s="35">
        <f t="shared" si="91"/>
        <v>0.6</v>
      </c>
      <c r="F892" s="37">
        <f t="shared" si="92"/>
        <v>70998.179999999993</v>
      </c>
      <c r="G892" s="37">
        <f t="shared" si="93"/>
        <v>42598.907999999996</v>
      </c>
      <c r="H892" s="36" cm="1">
        <f t="array" ref="H892">SUMPRODUCT((C892&gt;tier_floor)*((C892-tier_floor)*step)*margin_rate)</f>
        <v>31473.907999999996</v>
      </c>
      <c r="I892" s="37">
        <f t="shared" si="94"/>
        <v>11125</v>
      </c>
      <c r="J892" s="38">
        <f t="shared" si="95"/>
        <v>2024</v>
      </c>
      <c r="K892" s="128">
        <f>(1+target)^($J892-(MIN(tbl_rep_mon[year])))</f>
        <v>1.5208749999999995</v>
      </c>
      <c r="L892" s="35">
        <f t="shared" si="96"/>
        <v>0.51</v>
      </c>
      <c r="M892" s="37">
        <f t="shared" si="97"/>
        <v>36209.071799999998</v>
      </c>
    </row>
    <row r="893" spans="1:13" x14ac:dyDescent="0.4">
      <c r="A893" t="s">
        <v>32</v>
      </c>
      <c r="B893">
        <v>4</v>
      </c>
      <c r="C893" s="36">
        <v>73104.66</v>
      </c>
      <c r="D893" s="1">
        <v>45536</v>
      </c>
      <c r="E893" s="35">
        <f t="shared" si="91"/>
        <v>0.42</v>
      </c>
      <c r="F893" s="37">
        <f t="shared" si="92"/>
        <v>36552.33</v>
      </c>
      <c r="G893" s="37">
        <f t="shared" si="93"/>
        <v>15351.9786</v>
      </c>
      <c r="H893" s="36" cm="1">
        <f t="array" ref="H893">SUMPRODUCT((C893&gt;tier_floor)*((C893-tier_floor)*step)*margin_rate)</f>
        <v>12101.9786</v>
      </c>
      <c r="I893" s="37">
        <f t="shared" si="94"/>
        <v>3250</v>
      </c>
      <c r="J893" s="38">
        <f t="shared" si="95"/>
        <v>2024</v>
      </c>
      <c r="K893" s="128">
        <f>(1+target)^($J893-(MIN(tbl_rep_mon[year])))</f>
        <v>1.5208749999999995</v>
      </c>
      <c r="L893" s="35">
        <f t="shared" si="96"/>
        <v>0.33</v>
      </c>
      <c r="M893" s="37">
        <f t="shared" si="97"/>
        <v>12062.268900000001</v>
      </c>
    </row>
    <row r="894" spans="1:13" x14ac:dyDescent="0.4">
      <c r="A894" t="s">
        <v>33</v>
      </c>
      <c r="B894">
        <v>3</v>
      </c>
      <c r="C894" s="36">
        <v>62760.12</v>
      </c>
      <c r="D894" s="1">
        <v>45536</v>
      </c>
      <c r="E894" s="35">
        <f t="shared" si="91"/>
        <v>0.42</v>
      </c>
      <c r="F894" s="37">
        <f t="shared" si="92"/>
        <v>31380.06</v>
      </c>
      <c r="G894" s="37">
        <f t="shared" si="93"/>
        <v>13179.6252</v>
      </c>
      <c r="H894" s="36" cm="1">
        <f t="array" ref="H894">SUMPRODUCT((C894&gt;tier_floor)*((C894-tier_floor)*step)*margin_rate)</f>
        <v>9929.6252000000022</v>
      </c>
      <c r="I894" s="37">
        <f t="shared" si="94"/>
        <v>3249.9999999999982</v>
      </c>
      <c r="J894" s="38">
        <f t="shared" si="95"/>
        <v>2024</v>
      </c>
      <c r="K894" s="128">
        <f>(1+target)^($J894-(MIN(tbl_rep_mon[year])))</f>
        <v>1.5208749999999995</v>
      </c>
      <c r="L894" s="35">
        <f t="shared" si="96"/>
        <v>0.33</v>
      </c>
      <c r="M894" s="37">
        <f t="shared" si="97"/>
        <v>10355.419800000001</v>
      </c>
    </row>
    <row r="895" spans="1:13" x14ac:dyDescent="0.4">
      <c r="A895" t="s">
        <v>34</v>
      </c>
      <c r="B895">
        <v>4</v>
      </c>
      <c r="C895" s="36">
        <v>88798.95</v>
      </c>
      <c r="D895" s="1">
        <v>45536</v>
      </c>
      <c r="E895" s="35">
        <f t="shared" si="91"/>
        <v>0.51</v>
      </c>
      <c r="F895" s="37">
        <f t="shared" si="92"/>
        <v>44399.474999999999</v>
      </c>
      <c r="G895" s="37">
        <f t="shared" si="93"/>
        <v>22643.732250000001</v>
      </c>
      <c r="H895" s="36" cm="1">
        <f t="array" ref="H895">SUMPRODUCT((C895&gt;tier_floor)*((C895-tier_floor)*step)*margin_rate)</f>
        <v>16018.732249999999</v>
      </c>
      <c r="I895" s="37">
        <f t="shared" si="94"/>
        <v>6625.0000000000018</v>
      </c>
      <c r="J895" s="38">
        <f t="shared" si="95"/>
        <v>2024</v>
      </c>
      <c r="K895" s="128">
        <f>(1+target)^($J895-(MIN(tbl_rep_mon[year])))</f>
        <v>1.5208749999999995</v>
      </c>
      <c r="L895" s="35">
        <f t="shared" si="96"/>
        <v>0.42</v>
      </c>
      <c r="M895" s="37">
        <f t="shared" si="97"/>
        <v>18647.779499999997</v>
      </c>
    </row>
    <row r="896" spans="1:13" x14ac:dyDescent="0.4">
      <c r="A896" t="s">
        <v>35</v>
      </c>
      <c r="B896">
        <v>4</v>
      </c>
      <c r="C896" s="36">
        <v>62426.16</v>
      </c>
      <c r="D896" s="1">
        <v>45536</v>
      </c>
      <c r="E896" s="35">
        <f t="shared" si="91"/>
        <v>0.42</v>
      </c>
      <c r="F896" s="37">
        <f t="shared" si="92"/>
        <v>31213.08</v>
      </c>
      <c r="G896" s="37">
        <f t="shared" si="93"/>
        <v>13109.4936</v>
      </c>
      <c r="H896" s="36" cm="1">
        <f t="array" ref="H896">SUMPRODUCT((C896&gt;tier_floor)*((C896-tier_floor)*step)*margin_rate)</f>
        <v>9859.4936000000016</v>
      </c>
      <c r="I896" s="37">
        <f t="shared" si="94"/>
        <v>3249.9999999999982</v>
      </c>
      <c r="J896" s="38">
        <f t="shared" si="95"/>
        <v>2024</v>
      </c>
      <c r="K896" s="128">
        <f>(1+target)^($J896-(MIN(tbl_rep_mon[year])))</f>
        <v>1.5208749999999995</v>
      </c>
      <c r="L896" s="35">
        <f t="shared" si="96"/>
        <v>0.33</v>
      </c>
      <c r="M896" s="37">
        <f t="shared" si="97"/>
        <v>10300.316400000002</v>
      </c>
    </row>
    <row r="897" spans="1:13" x14ac:dyDescent="0.4">
      <c r="A897" t="s">
        <v>37</v>
      </c>
      <c r="B897">
        <v>4</v>
      </c>
      <c r="C897" s="36">
        <v>90967.01</v>
      </c>
      <c r="D897" s="1">
        <v>45536</v>
      </c>
      <c r="E897" s="35">
        <f t="shared" si="91"/>
        <v>0.51</v>
      </c>
      <c r="F897" s="37">
        <f t="shared" si="92"/>
        <v>45483.504999999997</v>
      </c>
      <c r="G897" s="37">
        <f t="shared" si="93"/>
        <v>23196.58755</v>
      </c>
      <c r="H897" s="36" cm="1">
        <f t="array" ref="H897">SUMPRODUCT((C897&gt;tier_floor)*((C897-tier_floor)*step)*margin_rate)</f>
        <v>16571.587549999997</v>
      </c>
      <c r="I897" s="37">
        <f t="shared" si="94"/>
        <v>6625.0000000000036</v>
      </c>
      <c r="J897" s="38">
        <f t="shared" si="95"/>
        <v>2024</v>
      </c>
      <c r="K897" s="128">
        <f>(1+target)^($J897-(MIN(tbl_rep_mon[year])))</f>
        <v>1.5208749999999995</v>
      </c>
      <c r="L897" s="35">
        <f t="shared" si="96"/>
        <v>0.42</v>
      </c>
      <c r="M897" s="37">
        <f t="shared" si="97"/>
        <v>19103.072099999998</v>
      </c>
    </row>
    <row r="898" spans="1:13" x14ac:dyDescent="0.4">
      <c r="A898" t="s">
        <v>38</v>
      </c>
      <c r="B898">
        <v>2</v>
      </c>
      <c r="C898" s="36">
        <v>97146.71</v>
      </c>
      <c r="D898" s="1">
        <v>45536</v>
      </c>
      <c r="E898" s="35">
        <f t="shared" ref="E898:E961" si="98">_xlfn.XLOOKUP(C898,tier_floor,tier_rate,,-1)</f>
        <v>0.51</v>
      </c>
      <c r="F898" s="37">
        <f t="shared" ref="F898:F961" si="99">C898*margin_rate</f>
        <v>48573.355000000003</v>
      </c>
      <c r="G898" s="37">
        <f t="shared" ref="G898:G961" si="100">F898*E898</f>
        <v>24772.411050000002</v>
      </c>
      <c r="H898" s="36" cm="1">
        <f t="array" ref="H898">SUMPRODUCT((C898&gt;tier_floor)*((C898-tier_floor)*step)*margin_rate)</f>
        <v>18147.411050000002</v>
      </c>
      <c r="I898" s="37">
        <f t="shared" ref="I898:I961" si="101">G898-H898</f>
        <v>6625</v>
      </c>
      <c r="J898" s="38">
        <f t="shared" ref="J898:J961" si="102">YEAR(D898)</f>
        <v>2024</v>
      </c>
      <c r="K898" s="128">
        <f>(1+target)^($J898-(MIN(tbl_rep_mon[year])))</f>
        <v>1.5208749999999995</v>
      </c>
      <c r="L898" s="35">
        <f t="shared" ref="L898:L961" si="103">_xlfn.XLOOKUP(($C898/$K898),tier_floor,tier_rate,,-1)</f>
        <v>0.42</v>
      </c>
      <c r="M898" s="37">
        <f t="shared" ref="M898:M961" si="104">$F898*$L898</f>
        <v>20400.809100000002</v>
      </c>
    </row>
    <row r="899" spans="1:13" x14ac:dyDescent="0.4">
      <c r="A899" t="s">
        <v>39</v>
      </c>
      <c r="B899">
        <v>2</v>
      </c>
      <c r="C899" s="36">
        <v>71273.289999999994</v>
      </c>
      <c r="D899" s="1">
        <v>45536</v>
      </c>
      <c r="E899" s="35">
        <f t="shared" si="98"/>
        <v>0.42</v>
      </c>
      <c r="F899" s="37">
        <f t="shared" si="99"/>
        <v>35636.644999999997</v>
      </c>
      <c r="G899" s="37">
        <f t="shared" si="100"/>
        <v>14967.390899999999</v>
      </c>
      <c r="H899" s="36" cm="1">
        <f t="array" ref="H899">SUMPRODUCT((C899&gt;tier_floor)*((C899-tier_floor)*step)*margin_rate)</f>
        <v>11717.390899999999</v>
      </c>
      <c r="I899" s="37">
        <f t="shared" si="101"/>
        <v>3250</v>
      </c>
      <c r="J899" s="38">
        <f t="shared" si="102"/>
        <v>2024</v>
      </c>
      <c r="K899" s="128">
        <f>(1+target)^($J899-(MIN(tbl_rep_mon[year])))</f>
        <v>1.5208749999999995</v>
      </c>
      <c r="L899" s="35">
        <f t="shared" si="103"/>
        <v>0.33</v>
      </c>
      <c r="M899" s="37">
        <f t="shared" si="104"/>
        <v>11760.092849999999</v>
      </c>
    </row>
    <row r="900" spans="1:13" x14ac:dyDescent="0.4">
      <c r="A900" t="s">
        <v>40</v>
      </c>
      <c r="B900">
        <v>4</v>
      </c>
      <c r="C900" s="36">
        <v>50758.35</v>
      </c>
      <c r="D900" s="1">
        <v>45536</v>
      </c>
      <c r="E900" s="35">
        <f t="shared" si="98"/>
        <v>0.42</v>
      </c>
      <c r="F900" s="37">
        <f t="shared" si="99"/>
        <v>25379.174999999999</v>
      </c>
      <c r="G900" s="37">
        <f t="shared" si="100"/>
        <v>10659.253499999999</v>
      </c>
      <c r="H900" s="36" cm="1">
        <f t="array" ref="H900">SUMPRODUCT((C900&gt;tier_floor)*((C900-tier_floor)*step)*margin_rate)</f>
        <v>7409.2534999999998</v>
      </c>
      <c r="I900" s="37">
        <f t="shared" si="101"/>
        <v>3249.9999999999991</v>
      </c>
      <c r="J900" s="38">
        <f t="shared" si="102"/>
        <v>2024</v>
      </c>
      <c r="K900" s="128">
        <f>(1+target)^($J900-(MIN(tbl_rep_mon[year])))</f>
        <v>1.5208749999999995</v>
      </c>
      <c r="L900" s="35">
        <f t="shared" si="103"/>
        <v>0.33</v>
      </c>
      <c r="M900" s="37">
        <f t="shared" si="104"/>
        <v>8375.1277499999997</v>
      </c>
    </row>
    <row r="901" spans="1:13" x14ac:dyDescent="0.4">
      <c r="A901" t="s">
        <v>41</v>
      </c>
      <c r="B901">
        <v>2</v>
      </c>
      <c r="C901" s="36">
        <v>112034.57</v>
      </c>
      <c r="D901" s="1">
        <v>45536</v>
      </c>
      <c r="E901" s="35">
        <f t="shared" si="98"/>
        <v>0.6</v>
      </c>
      <c r="F901" s="37">
        <f t="shared" si="99"/>
        <v>56017.285000000003</v>
      </c>
      <c r="G901" s="37">
        <f t="shared" si="100"/>
        <v>33610.370999999999</v>
      </c>
      <c r="H901" s="36" cm="1">
        <f t="array" ref="H901">SUMPRODUCT((C901&gt;tier_floor)*((C901-tier_floor)*step)*margin_rate)</f>
        <v>22485.370999999999</v>
      </c>
      <c r="I901" s="37">
        <f t="shared" si="101"/>
        <v>11125</v>
      </c>
      <c r="J901" s="38">
        <f t="shared" si="102"/>
        <v>2024</v>
      </c>
      <c r="K901" s="128">
        <f>(1+target)^($J901-(MIN(tbl_rep_mon[year])))</f>
        <v>1.5208749999999995</v>
      </c>
      <c r="L901" s="35">
        <f t="shared" si="103"/>
        <v>0.42</v>
      </c>
      <c r="M901" s="37">
        <f t="shared" si="104"/>
        <v>23527.259700000002</v>
      </c>
    </row>
    <row r="902" spans="1:13" x14ac:dyDescent="0.4">
      <c r="A902" t="s">
        <v>42</v>
      </c>
      <c r="B902">
        <v>3</v>
      </c>
      <c r="C902" s="36">
        <v>39505.629999999997</v>
      </c>
      <c r="D902" s="1">
        <v>45536</v>
      </c>
      <c r="E902" s="35">
        <f t="shared" si="98"/>
        <v>0.33</v>
      </c>
      <c r="F902" s="37">
        <f t="shared" si="99"/>
        <v>19752.814999999999</v>
      </c>
      <c r="G902" s="37">
        <f t="shared" si="100"/>
        <v>6518.4289499999995</v>
      </c>
      <c r="H902" s="36" cm="1">
        <f t="array" ref="H902">SUMPRODUCT((C902&gt;tier_floor)*((C902-tier_floor)*step)*margin_rate)</f>
        <v>5518.4289499999995</v>
      </c>
      <c r="I902" s="37">
        <f t="shared" si="101"/>
        <v>1000</v>
      </c>
      <c r="J902" s="38">
        <f t="shared" si="102"/>
        <v>2024</v>
      </c>
      <c r="K902" s="128">
        <f>(1+target)^($J902-(MIN(tbl_rep_mon[year])))</f>
        <v>1.5208749999999995</v>
      </c>
      <c r="L902" s="35">
        <f t="shared" si="103"/>
        <v>0.33</v>
      </c>
      <c r="M902" s="37">
        <f t="shared" si="104"/>
        <v>6518.4289499999995</v>
      </c>
    </row>
    <row r="903" spans="1:13" x14ac:dyDescent="0.4">
      <c r="A903" t="s">
        <v>6</v>
      </c>
      <c r="B903">
        <v>2</v>
      </c>
      <c r="C903" s="36">
        <v>65896.3</v>
      </c>
      <c r="D903" s="1">
        <v>45566</v>
      </c>
      <c r="E903" s="35">
        <f t="shared" si="98"/>
        <v>0.42</v>
      </c>
      <c r="F903" s="37">
        <f t="shared" si="99"/>
        <v>32948.15</v>
      </c>
      <c r="G903" s="37">
        <f t="shared" si="100"/>
        <v>13838.223</v>
      </c>
      <c r="H903" s="36" cm="1">
        <f t="array" ref="H903">SUMPRODUCT((C903&gt;tier_floor)*((C903-tier_floor)*step)*margin_rate)</f>
        <v>10588.223000000002</v>
      </c>
      <c r="I903" s="37">
        <f t="shared" si="101"/>
        <v>3249.9999999999982</v>
      </c>
      <c r="J903" s="38">
        <f t="shared" si="102"/>
        <v>2024</v>
      </c>
      <c r="K903" s="128">
        <f>(1+target)^($J903-(MIN(tbl_rep_mon[year])))</f>
        <v>1.5208749999999995</v>
      </c>
      <c r="L903" s="35">
        <f t="shared" si="103"/>
        <v>0.33</v>
      </c>
      <c r="M903" s="37">
        <f t="shared" si="104"/>
        <v>10872.889500000001</v>
      </c>
    </row>
    <row r="904" spans="1:13" x14ac:dyDescent="0.4">
      <c r="A904" t="s">
        <v>7</v>
      </c>
      <c r="B904">
        <v>4</v>
      </c>
      <c r="C904" s="36">
        <v>67490.22</v>
      </c>
      <c r="D904" s="1">
        <v>45566</v>
      </c>
      <c r="E904" s="35">
        <f t="shared" si="98"/>
        <v>0.42</v>
      </c>
      <c r="F904" s="37">
        <f t="shared" si="99"/>
        <v>33745.11</v>
      </c>
      <c r="G904" s="37">
        <f t="shared" si="100"/>
        <v>14172.9462</v>
      </c>
      <c r="H904" s="36" cm="1">
        <f t="array" ref="H904">SUMPRODUCT((C904&gt;tier_floor)*((C904-tier_floor)*step)*margin_rate)</f>
        <v>10922.9462</v>
      </c>
      <c r="I904" s="37">
        <f t="shared" si="101"/>
        <v>3250</v>
      </c>
      <c r="J904" s="38">
        <f t="shared" si="102"/>
        <v>2024</v>
      </c>
      <c r="K904" s="128">
        <f>(1+target)^($J904-(MIN(tbl_rep_mon[year])))</f>
        <v>1.5208749999999995</v>
      </c>
      <c r="L904" s="35">
        <f t="shared" si="103"/>
        <v>0.33</v>
      </c>
      <c r="M904" s="37">
        <f t="shared" si="104"/>
        <v>11135.8863</v>
      </c>
    </row>
    <row r="905" spans="1:13" x14ac:dyDescent="0.4">
      <c r="A905" t="s">
        <v>8</v>
      </c>
      <c r="B905">
        <v>4</v>
      </c>
      <c r="C905" s="36">
        <v>67417.02</v>
      </c>
      <c r="D905" s="1">
        <v>45566</v>
      </c>
      <c r="E905" s="35">
        <f t="shared" si="98"/>
        <v>0.42</v>
      </c>
      <c r="F905" s="37">
        <f t="shared" si="99"/>
        <v>33708.51</v>
      </c>
      <c r="G905" s="37">
        <f t="shared" si="100"/>
        <v>14157.574200000001</v>
      </c>
      <c r="H905" s="36" cm="1">
        <f t="array" ref="H905">SUMPRODUCT((C905&gt;tier_floor)*((C905-tier_floor)*step)*margin_rate)</f>
        <v>10907.574200000001</v>
      </c>
      <c r="I905" s="37">
        <f t="shared" si="101"/>
        <v>3250</v>
      </c>
      <c r="J905" s="38">
        <f t="shared" si="102"/>
        <v>2024</v>
      </c>
      <c r="K905" s="128">
        <f>(1+target)^($J905-(MIN(tbl_rep_mon[year])))</f>
        <v>1.5208749999999995</v>
      </c>
      <c r="L905" s="35">
        <f t="shared" si="103"/>
        <v>0.33</v>
      </c>
      <c r="M905" s="37">
        <f t="shared" si="104"/>
        <v>11123.808300000001</v>
      </c>
    </row>
    <row r="906" spans="1:13" x14ac:dyDescent="0.4">
      <c r="A906" t="s">
        <v>15</v>
      </c>
      <c r="B906">
        <v>3</v>
      </c>
      <c r="C906" s="36">
        <v>94096.35</v>
      </c>
      <c r="D906" s="1">
        <v>45566</v>
      </c>
      <c r="E906" s="35">
        <f t="shared" si="98"/>
        <v>0.51</v>
      </c>
      <c r="F906" s="37">
        <f t="shared" si="99"/>
        <v>47048.175000000003</v>
      </c>
      <c r="G906" s="37">
        <f t="shared" si="100"/>
        <v>23994.56925</v>
      </c>
      <c r="H906" s="36" cm="1">
        <f t="array" ref="H906">SUMPRODUCT((C906&gt;tier_floor)*((C906-tier_floor)*step)*margin_rate)</f>
        <v>17369.569250000004</v>
      </c>
      <c r="I906" s="37">
        <f t="shared" si="101"/>
        <v>6624.9999999999964</v>
      </c>
      <c r="J906" s="38">
        <f t="shared" si="102"/>
        <v>2024</v>
      </c>
      <c r="K906" s="128">
        <f>(1+target)^($J906-(MIN(tbl_rep_mon[year])))</f>
        <v>1.5208749999999995</v>
      </c>
      <c r="L906" s="35">
        <f t="shared" si="103"/>
        <v>0.42</v>
      </c>
      <c r="M906" s="37">
        <f t="shared" si="104"/>
        <v>19760.233500000002</v>
      </c>
    </row>
    <row r="907" spans="1:13" x14ac:dyDescent="0.4">
      <c r="A907" t="s">
        <v>18</v>
      </c>
      <c r="B907">
        <v>3</v>
      </c>
      <c r="C907" s="36">
        <v>63567.46</v>
      </c>
      <c r="D907" s="1">
        <v>45566</v>
      </c>
      <c r="E907" s="35">
        <f t="shared" si="98"/>
        <v>0.42</v>
      </c>
      <c r="F907" s="37">
        <f t="shared" si="99"/>
        <v>31783.73</v>
      </c>
      <c r="G907" s="37">
        <f t="shared" si="100"/>
        <v>13349.166599999999</v>
      </c>
      <c r="H907" s="36" cm="1">
        <f t="array" ref="H907">SUMPRODUCT((C907&gt;tier_floor)*((C907-tier_floor)*step)*margin_rate)</f>
        <v>10099.1666</v>
      </c>
      <c r="I907" s="37">
        <f t="shared" si="101"/>
        <v>3249.9999999999982</v>
      </c>
      <c r="J907" s="38">
        <f t="shared" si="102"/>
        <v>2024</v>
      </c>
      <c r="K907" s="128">
        <f>(1+target)^($J907-(MIN(tbl_rep_mon[year])))</f>
        <v>1.5208749999999995</v>
      </c>
      <c r="L907" s="35">
        <f t="shared" si="103"/>
        <v>0.33</v>
      </c>
      <c r="M907" s="37">
        <f t="shared" si="104"/>
        <v>10488.6309</v>
      </c>
    </row>
    <row r="908" spans="1:13" x14ac:dyDescent="0.4">
      <c r="A908" t="s">
        <v>19</v>
      </c>
      <c r="B908">
        <v>4</v>
      </c>
      <c r="C908" s="36">
        <v>73082.13</v>
      </c>
      <c r="D908" s="1">
        <v>45566</v>
      </c>
      <c r="E908" s="35">
        <f t="shared" si="98"/>
        <v>0.42</v>
      </c>
      <c r="F908" s="37">
        <f t="shared" si="99"/>
        <v>36541.065000000002</v>
      </c>
      <c r="G908" s="37">
        <f t="shared" si="100"/>
        <v>15347.247300000001</v>
      </c>
      <c r="H908" s="36" cm="1">
        <f t="array" ref="H908">SUMPRODUCT((C908&gt;tier_floor)*((C908-tier_floor)*step)*margin_rate)</f>
        <v>12097.247300000001</v>
      </c>
      <c r="I908" s="37">
        <f t="shared" si="101"/>
        <v>3250</v>
      </c>
      <c r="J908" s="38">
        <f t="shared" si="102"/>
        <v>2024</v>
      </c>
      <c r="K908" s="128">
        <f>(1+target)^($J908-(MIN(tbl_rep_mon[year])))</f>
        <v>1.5208749999999995</v>
      </c>
      <c r="L908" s="35">
        <f t="shared" si="103"/>
        <v>0.33</v>
      </c>
      <c r="M908" s="37">
        <f t="shared" si="104"/>
        <v>12058.551450000001</v>
      </c>
    </row>
    <row r="909" spans="1:13" x14ac:dyDescent="0.4">
      <c r="A909" t="s">
        <v>23</v>
      </c>
      <c r="B909">
        <v>1</v>
      </c>
      <c r="C909" s="36">
        <v>123076.4</v>
      </c>
      <c r="D909" s="1">
        <v>45566</v>
      </c>
      <c r="E909" s="35">
        <f t="shared" si="98"/>
        <v>0.6</v>
      </c>
      <c r="F909" s="37">
        <f t="shared" si="99"/>
        <v>61538.2</v>
      </c>
      <c r="G909" s="37">
        <f t="shared" si="100"/>
        <v>36922.92</v>
      </c>
      <c r="H909" s="36" cm="1">
        <f t="array" ref="H909">SUMPRODUCT((C909&gt;tier_floor)*((C909-tier_floor)*step)*margin_rate)</f>
        <v>25797.919999999995</v>
      </c>
      <c r="I909" s="37">
        <f t="shared" si="101"/>
        <v>11125.000000000004</v>
      </c>
      <c r="J909" s="38">
        <f t="shared" si="102"/>
        <v>2024</v>
      </c>
      <c r="K909" s="128">
        <f>(1+target)^($J909-(MIN(tbl_rep_mon[year])))</f>
        <v>1.5208749999999995</v>
      </c>
      <c r="L909" s="35">
        <f t="shared" si="103"/>
        <v>0.51</v>
      </c>
      <c r="M909" s="37">
        <f t="shared" si="104"/>
        <v>31384.482</v>
      </c>
    </row>
    <row r="910" spans="1:13" x14ac:dyDescent="0.4">
      <c r="A910" t="s">
        <v>24</v>
      </c>
      <c r="B910">
        <v>3</v>
      </c>
      <c r="C910" s="36">
        <v>68430.19</v>
      </c>
      <c r="D910" s="1">
        <v>45566</v>
      </c>
      <c r="E910" s="35">
        <f t="shared" si="98"/>
        <v>0.42</v>
      </c>
      <c r="F910" s="37">
        <f t="shared" si="99"/>
        <v>34215.095000000001</v>
      </c>
      <c r="G910" s="37">
        <f t="shared" si="100"/>
        <v>14370.339900000001</v>
      </c>
      <c r="H910" s="36" cm="1">
        <f t="array" ref="H910">SUMPRODUCT((C910&gt;tier_floor)*((C910-tier_floor)*step)*margin_rate)</f>
        <v>11120.339899999999</v>
      </c>
      <c r="I910" s="37">
        <f t="shared" si="101"/>
        <v>3250.0000000000018</v>
      </c>
      <c r="J910" s="38">
        <f t="shared" si="102"/>
        <v>2024</v>
      </c>
      <c r="K910" s="128">
        <f>(1+target)^($J910-(MIN(tbl_rep_mon[year])))</f>
        <v>1.5208749999999995</v>
      </c>
      <c r="L910" s="35">
        <f t="shared" si="103"/>
        <v>0.33</v>
      </c>
      <c r="M910" s="37">
        <f t="shared" si="104"/>
        <v>11290.98135</v>
      </c>
    </row>
    <row r="911" spans="1:13" x14ac:dyDescent="0.4">
      <c r="A911" t="s">
        <v>25</v>
      </c>
      <c r="B911">
        <v>2</v>
      </c>
      <c r="C911" s="36">
        <v>97923.32</v>
      </c>
      <c r="D911" s="1">
        <v>45566</v>
      </c>
      <c r="E911" s="35">
        <f t="shared" si="98"/>
        <v>0.51</v>
      </c>
      <c r="F911" s="37">
        <f t="shared" si="99"/>
        <v>48961.66</v>
      </c>
      <c r="G911" s="37">
        <f t="shared" si="100"/>
        <v>24970.446600000003</v>
      </c>
      <c r="H911" s="36" cm="1">
        <f t="array" ref="H911">SUMPRODUCT((C911&gt;tier_floor)*((C911-tier_floor)*step)*margin_rate)</f>
        <v>18345.446599999999</v>
      </c>
      <c r="I911" s="37">
        <f t="shared" si="101"/>
        <v>6625.0000000000036</v>
      </c>
      <c r="J911" s="38">
        <f t="shared" si="102"/>
        <v>2024</v>
      </c>
      <c r="K911" s="128">
        <f>(1+target)^($J911-(MIN(tbl_rep_mon[year])))</f>
        <v>1.5208749999999995</v>
      </c>
      <c r="L911" s="35">
        <f t="shared" si="103"/>
        <v>0.42</v>
      </c>
      <c r="M911" s="37">
        <f t="shared" si="104"/>
        <v>20563.897199999999</v>
      </c>
    </row>
    <row r="912" spans="1:13" x14ac:dyDescent="0.4">
      <c r="A912" t="s">
        <v>29</v>
      </c>
      <c r="B912">
        <v>1</v>
      </c>
      <c r="C912" s="36">
        <v>135525.01</v>
      </c>
      <c r="D912" s="1">
        <v>45566</v>
      </c>
      <c r="E912" s="35">
        <f t="shared" si="98"/>
        <v>0.6</v>
      </c>
      <c r="F912" s="37">
        <f t="shared" si="99"/>
        <v>67762.505000000005</v>
      </c>
      <c r="G912" s="37">
        <f t="shared" si="100"/>
        <v>40657.503000000004</v>
      </c>
      <c r="H912" s="36" cm="1">
        <f t="array" ref="H912">SUMPRODUCT((C912&gt;tier_floor)*((C912-tier_floor)*step)*margin_rate)</f>
        <v>29532.503000000004</v>
      </c>
      <c r="I912" s="37">
        <f t="shared" si="101"/>
        <v>11125</v>
      </c>
      <c r="J912" s="38">
        <f t="shared" si="102"/>
        <v>2024</v>
      </c>
      <c r="K912" s="128">
        <f>(1+target)^($J912-(MIN(tbl_rep_mon[year])))</f>
        <v>1.5208749999999995</v>
      </c>
      <c r="L912" s="35">
        <f t="shared" si="103"/>
        <v>0.51</v>
      </c>
      <c r="M912" s="37">
        <f t="shared" si="104"/>
        <v>34558.877550000005</v>
      </c>
    </row>
    <row r="913" spans="1:13" x14ac:dyDescent="0.4">
      <c r="A913" t="s">
        <v>32</v>
      </c>
      <c r="B913">
        <v>4</v>
      </c>
      <c r="C913" s="36">
        <v>55899.05</v>
      </c>
      <c r="D913" s="1">
        <v>45566</v>
      </c>
      <c r="E913" s="35">
        <f t="shared" si="98"/>
        <v>0.42</v>
      </c>
      <c r="F913" s="37">
        <f t="shared" si="99"/>
        <v>27949.525000000001</v>
      </c>
      <c r="G913" s="37">
        <f t="shared" si="100"/>
        <v>11738.800499999999</v>
      </c>
      <c r="H913" s="36" cm="1">
        <f t="array" ref="H913">SUMPRODUCT((C913&gt;tier_floor)*((C913-tier_floor)*step)*margin_rate)</f>
        <v>8488.8005000000012</v>
      </c>
      <c r="I913" s="37">
        <f t="shared" si="101"/>
        <v>3249.9999999999982</v>
      </c>
      <c r="J913" s="38">
        <f t="shared" si="102"/>
        <v>2024</v>
      </c>
      <c r="K913" s="128">
        <f>(1+target)^($J913-(MIN(tbl_rep_mon[year])))</f>
        <v>1.5208749999999995</v>
      </c>
      <c r="L913" s="35">
        <f t="shared" si="103"/>
        <v>0.33</v>
      </c>
      <c r="M913" s="37">
        <f t="shared" si="104"/>
        <v>9223.3432500000017</v>
      </c>
    </row>
    <row r="914" spans="1:13" x14ac:dyDescent="0.4">
      <c r="A914" t="s">
        <v>33</v>
      </c>
      <c r="B914">
        <v>3</v>
      </c>
      <c r="C914" s="36">
        <v>73908.37</v>
      </c>
      <c r="D914" s="1">
        <v>45566</v>
      </c>
      <c r="E914" s="35">
        <f t="shared" si="98"/>
        <v>0.42</v>
      </c>
      <c r="F914" s="37">
        <f t="shared" si="99"/>
        <v>36954.184999999998</v>
      </c>
      <c r="G914" s="37">
        <f t="shared" si="100"/>
        <v>15520.757699999998</v>
      </c>
      <c r="H914" s="36" cm="1">
        <f t="array" ref="H914">SUMPRODUCT((C914&gt;tier_floor)*((C914-tier_floor)*step)*margin_rate)</f>
        <v>12270.7577</v>
      </c>
      <c r="I914" s="37">
        <f t="shared" si="101"/>
        <v>3249.9999999999982</v>
      </c>
      <c r="J914" s="38">
        <f t="shared" si="102"/>
        <v>2024</v>
      </c>
      <c r="K914" s="128">
        <f>(1+target)^($J914-(MIN(tbl_rep_mon[year])))</f>
        <v>1.5208749999999995</v>
      </c>
      <c r="L914" s="35">
        <f t="shared" si="103"/>
        <v>0.33</v>
      </c>
      <c r="M914" s="37">
        <f t="shared" si="104"/>
        <v>12194.88105</v>
      </c>
    </row>
    <row r="915" spans="1:13" x14ac:dyDescent="0.4">
      <c r="A915" t="s">
        <v>34</v>
      </c>
      <c r="B915">
        <v>4</v>
      </c>
      <c r="C915" s="36">
        <v>66636.55</v>
      </c>
      <c r="D915" s="1">
        <v>45566</v>
      </c>
      <c r="E915" s="35">
        <f t="shared" si="98"/>
        <v>0.42</v>
      </c>
      <c r="F915" s="37">
        <f t="shared" si="99"/>
        <v>33318.275000000001</v>
      </c>
      <c r="G915" s="37">
        <f t="shared" si="100"/>
        <v>13993.675499999999</v>
      </c>
      <c r="H915" s="36" cm="1">
        <f t="array" ref="H915">SUMPRODUCT((C915&gt;tier_floor)*((C915-tier_floor)*step)*margin_rate)</f>
        <v>10743.675500000001</v>
      </c>
      <c r="I915" s="37">
        <f t="shared" si="101"/>
        <v>3249.9999999999982</v>
      </c>
      <c r="J915" s="38">
        <f t="shared" si="102"/>
        <v>2024</v>
      </c>
      <c r="K915" s="128">
        <f>(1+target)^($J915-(MIN(tbl_rep_mon[year])))</f>
        <v>1.5208749999999995</v>
      </c>
      <c r="L915" s="35">
        <f t="shared" si="103"/>
        <v>0.33</v>
      </c>
      <c r="M915" s="37">
        <f t="shared" si="104"/>
        <v>10995.030750000002</v>
      </c>
    </row>
    <row r="916" spans="1:13" x14ac:dyDescent="0.4">
      <c r="A916" t="s">
        <v>35</v>
      </c>
      <c r="B916">
        <v>4</v>
      </c>
      <c r="C916" s="36">
        <v>62024.59</v>
      </c>
      <c r="D916" s="1">
        <v>45566</v>
      </c>
      <c r="E916" s="35">
        <f t="shared" si="98"/>
        <v>0.42</v>
      </c>
      <c r="F916" s="37">
        <f t="shared" si="99"/>
        <v>31012.294999999998</v>
      </c>
      <c r="G916" s="37">
        <f t="shared" si="100"/>
        <v>13025.1639</v>
      </c>
      <c r="H916" s="36" cm="1">
        <f t="array" ref="H916">SUMPRODUCT((C916&gt;tier_floor)*((C916-tier_floor)*step)*margin_rate)</f>
        <v>9775.1638999999996</v>
      </c>
      <c r="I916" s="37">
        <f t="shared" si="101"/>
        <v>3250</v>
      </c>
      <c r="J916" s="38">
        <f t="shared" si="102"/>
        <v>2024</v>
      </c>
      <c r="K916" s="128">
        <f>(1+target)^($J916-(MIN(tbl_rep_mon[year])))</f>
        <v>1.5208749999999995</v>
      </c>
      <c r="L916" s="35">
        <f t="shared" si="103"/>
        <v>0.33</v>
      </c>
      <c r="M916" s="37">
        <f t="shared" si="104"/>
        <v>10234.057349999999</v>
      </c>
    </row>
    <row r="917" spans="1:13" x14ac:dyDescent="0.4">
      <c r="A917" t="s">
        <v>37</v>
      </c>
      <c r="B917">
        <v>4</v>
      </c>
      <c r="C917" s="36">
        <v>59235.55</v>
      </c>
      <c r="D917" s="1">
        <v>45566</v>
      </c>
      <c r="E917" s="35">
        <f t="shared" si="98"/>
        <v>0.42</v>
      </c>
      <c r="F917" s="37">
        <f t="shared" si="99"/>
        <v>29617.775000000001</v>
      </c>
      <c r="G917" s="37">
        <f t="shared" si="100"/>
        <v>12439.4655</v>
      </c>
      <c r="H917" s="36" cm="1">
        <f t="array" ref="H917">SUMPRODUCT((C917&gt;tier_floor)*((C917-tier_floor)*step)*margin_rate)</f>
        <v>9189.4655000000002</v>
      </c>
      <c r="I917" s="37">
        <f t="shared" si="101"/>
        <v>3250</v>
      </c>
      <c r="J917" s="38">
        <f t="shared" si="102"/>
        <v>2024</v>
      </c>
      <c r="K917" s="128">
        <f>(1+target)^($J917-(MIN(tbl_rep_mon[year])))</f>
        <v>1.5208749999999995</v>
      </c>
      <c r="L917" s="35">
        <f t="shared" si="103"/>
        <v>0.33</v>
      </c>
      <c r="M917" s="37">
        <f t="shared" si="104"/>
        <v>9773.8657500000008</v>
      </c>
    </row>
    <row r="918" spans="1:13" x14ac:dyDescent="0.4">
      <c r="A918" t="s">
        <v>38</v>
      </c>
      <c r="B918">
        <v>2</v>
      </c>
      <c r="C918" s="36">
        <v>55759.95</v>
      </c>
      <c r="D918" s="1">
        <v>45566</v>
      </c>
      <c r="E918" s="35">
        <f t="shared" si="98"/>
        <v>0.42</v>
      </c>
      <c r="F918" s="37">
        <f t="shared" si="99"/>
        <v>27879.974999999999</v>
      </c>
      <c r="G918" s="37">
        <f t="shared" si="100"/>
        <v>11709.589499999998</v>
      </c>
      <c r="H918" s="36" cm="1">
        <f t="array" ref="H918">SUMPRODUCT((C918&gt;tier_floor)*((C918-tier_floor)*step)*margin_rate)</f>
        <v>8459.5894999999982</v>
      </c>
      <c r="I918" s="37">
        <f t="shared" si="101"/>
        <v>3250</v>
      </c>
      <c r="J918" s="38">
        <f t="shared" si="102"/>
        <v>2024</v>
      </c>
      <c r="K918" s="128">
        <f>(1+target)^($J918-(MIN(tbl_rep_mon[year])))</f>
        <v>1.5208749999999995</v>
      </c>
      <c r="L918" s="35">
        <f t="shared" si="103"/>
        <v>0.33</v>
      </c>
      <c r="M918" s="37">
        <f t="shared" si="104"/>
        <v>9200.3917500000007</v>
      </c>
    </row>
    <row r="919" spans="1:13" x14ac:dyDescent="0.4">
      <c r="A919" t="s">
        <v>39</v>
      </c>
      <c r="B919">
        <v>2</v>
      </c>
      <c r="C919" s="36">
        <v>91593.74</v>
      </c>
      <c r="D919" s="1">
        <v>45566</v>
      </c>
      <c r="E919" s="35">
        <f t="shared" si="98"/>
        <v>0.51</v>
      </c>
      <c r="F919" s="37">
        <f t="shared" si="99"/>
        <v>45796.87</v>
      </c>
      <c r="G919" s="37">
        <f t="shared" si="100"/>
        <v>23356.403700000003</v>
      </c>
      <c r="H919" s="36" cm="1">
        <f t="array" ref="H919">SUMPRODUCT((C919&gt;tier_floor)*((C919-tier_floor)*step)*margin_rate)</f>
        <v>16731.403700000003</v>
      </c>
      <c r="I919" s="37">
        <f t="shared" si="101"/>
        <v>6625</v>
      </c>
      <c r="J919" s="38">
        <f t="shared" si="102"/>
        <v>2024</v>
      </c>
      <c r="K919" s="128">
        <f>(1+target)^($J919-(MIN(tbl_rep_mon[year])))</f>
        <v>1.5208749999999995</v>
      </c>
      <c r="L919" s="35">
        <f t="shared" si="103"/>
        <v>0.42</v>
      </c>
      <c r="M919" s="37">
        <f t="shared" si="104"/>
        <v>19234.685400000002</v>
      </c>
    </row>
    <row r="920" spans="1:13" x14ac:dyDescent="0.4">
      <c r="A920" t="s">
        <v>40</v>
      </c>
      <c r="B920">
        <v>4</v>
      </c>
      <c r="C920" s="36">
        <v>51145.79</v>
      </c>
      <c r="D920" s="1">
        <v>45566</v>
      </c>
      <c r="E920" s="35">
        <f t="shared" si="98"/>
        <v>0.42</v>
      </c>
      <c r="F920" s="37">
        <f t="shared" si="99"/>
        <v>25572.895</v>
      </c>
      <c r="G920" s="37">
        <f t="shared" si="100"/>
        <v>10740.615900000001</v>
      </c>
      <c r="H920" s="36" cm="1">
        <f t="array" ref="H920">SUMPRODUCT((C920&gt;tier_floor)*((C920-tier_floor)*step)*margin_rate)</f>
        <v>7490.6159000000007</v>
      </c>
      <c r="I920" s="37">
        <f t="shared" si="101"/>
        <v>3250</v>
      </c>
      <c r="J920" s="38">
        <f t="shared" si="102"/>
        <v>2024</v>
      </c>
      <c r="K920" s="128">
        <f>(1+target)^($J920-(MIN(tbl_rep_mon[year])))</f>
        <v>1.5208749999999995</v>
      </c>
      <c r="L920" s="35">
        <f t="shared" si="103"/>
        <v>0.33</v>
      </c>
      <c r="M920" s="37">
        <f t="shared" si="104"/>
        <v>8439.0553500000005</v>
      </c>
    </row>
    <row r="921" spans="1:13" x14ac:dyDescent="0.4">
      <c r="A921" t="s">
        <v>41</v>
      </c>
      <c r="B921">
        <v>2</v>
      </c>
      <c r="C921" s="36">
        <v>88599.14</v>
      </c>
      <c r="D921" s="1">
        <v>45566</v>
      </c>
      <c r="E921" s="35">
        <f t="shared" si="98"/>
        <v>0.51</v>
      </c>
      <c r="F921" s="37">
        <f t="shared" si="99"/>
        <v>44299.57</v>
      </c>
      <c r="G921" s="37">
        <f t="shared" si="100"/>
        <v>22592.780699999999</v>
      </c>
      <c r="H921" s="36" cm="1">
        <f t="array" ref="H921">SUMPRODUCT((C921&gt;tier_floor)*((C921-tier_floor)*step)*margin_rate)</f>
        <v>15967.780700000001</v>
      </c>
      <c r="I921" s="37">
        <f t="shared" si="101"/>
        <v>6624.9999999999982</v>
      </c>
      <c r="J921" s="38">
        <f t="shared" si="102"/>
        <v>2024</v>
      </c>
      <c r="K921" s="128">
        <f>(1+target)^($J921-(MIN(tbl_rep_mon[year])))</f>
        <v>1.5208749999999995</v>
      </c>
      <c r="L921" s="35">
        <f t="shared" si="103"/>
        <v>0.42</v>
      </c>
      <c r="M921" s="37">
        <f t="shared" si="104"/>
        <v>18605.8194</v>
      </c>
    </row>
    <row r="922" spans="1:13" x14ac:dyDescent="0.4">
      <c r="A922" t="s">
        <v>42</v>
      </c>
      <c r="B922">
        <v>3</v>
      </c>
      <c r="C922" s="36">
        <v>78724.55</v>
      </c>
      <c r="D922" s="1">
        <v>45566</v>
      </c>
      <c r="E922" s="35">
        <f t="shared" si="98"/>
        <v>0.51</v>
      </c>
      <c r="F922" s="37">
        <f t="shared" si="99"/>
        <v>39362.275000000001</v>
      </c>
      <c r="G922" s="37">
        <f t="shared" si="100"/>
        <v>20074.760249999999</v>
      </c>
      <c r="H922" s="36" cm="1">
        <f t="array" ref="H922">SUMPRODUCT((C922&gt;tier_floor)*((C922-tier_floor)*step)*margin_rate)</f>
        <v>13449.760250000001</v>
      </c>
      <c r="I922" s="37">
        <f t="shared" si="101"/>
        <v>6624.9999999999982</v>
      </c>
      <c r="J922" s="38">
        <f t="shared" si="102"/>
        <v>2024</v>
      </c>
      <c r="K922" s="128">
        <f>(1+target)^($J922-(MIN(tbl_rep_mon[year])))</f>
        <v>1.5208749999999995</v>
      </c>
      <c r="L922" s="35">
        <f t="shared" si="103"/>
        <v>0.42</v>
      </c>
      <c r="M922" s="37">
        <f t="shared" si="104"/>
        <v>16532.155500000001</v>
      </c>
    </row>
    <row r="923" spans="1:13" x14ac:dyDescent="0.4">
      <c r="A923" t="s">
        <v>6</v>
      </c>
      <c r="B923">
        <v>2</v>
      </c>
      <c r="C923" s="36">
        <v>55950.91</v>
      </c>
      <c r="D923" s="1">
        <v>45597</v>
      </c>
      <c r="E923" s="35">
        <f t="shared" si="98"/>
        <v>0.42</v>
      </c>
      <c r="F923" s="37">
        <f t="shared" si="99"/>
        <v>27975.455000000002</v>
      </c>
      <c r="G923" s="37">
        <f t="shared" si="100"/>
        <v>11749.6911</v>
      </c>
      <c r="H923" s="36" cm="1">
        <f t="array" ref="H923">SUMPRODUCT((C923&gt;tier_floor)*((C923-tier_floor)*step)*margin_rate)</f>
        <v>8499.6911000000018</v>
      </c>
      <c r="I923" s="37">
        <f t="shared" si="101"/>
        <v>3249.9999999999982</v>
      </c>
      <c r="J923" s="38">
        <f t="shared" si="102"/>
        <v>2024</v>
      </c>
      <c r="K923" s="128">
        <f>(1+target)^($J923-(MIN(tbl_rep_mon[year])))</f>
        <v>1.5208749999999995</v>
      </c>
      <c r="L923" s="35">
        <f t="shared" si="103"/>
        <v>0.33</v>
      </c>
      <c r="M923" s="37">
        <f t="shared" si="104"/>
        <v>9231.9001500000013</v>
      </c>
    </row>
    <row r="924" spans="1:13" x14ac:dyDescent="0.4">
      <c r="A924" t="s">
        <v>7</v>
      </c>
      <c r="B924">
        <v>4</v>
      </c>
      <c r="C924" s="36">
        <v>43813.81</v>
      </c>
      <c r="D924" s="1">
        <v>45597</v>
      </c>
      <c r="E924" s="35">
        <f t="shared" si="98"/>
        <v>0.33</v>
      </c>
      <c r="F924" s="37">
        <f t="shared" si="99"/>
        <v>21906.904999999999</v>
      </c>
      <c r="G924" s="37">
        <f t="shared" si="100"/>
        <v>7229.2786500000002</v>
      </c>
      <c r="H924" s="36" cm="1">
        <f t="array" ref="H924">SUMPRODUCT((C924&gt;tier_floor)*((C924-tier_floor)*step)*margin_rate)</f>
        <v>6229.2786500000002</v>
      </c>
      <c r="I924" s="37">
        <f t="shared" si="101"/>
        <v>1000</v>
      </c>
      <c r="J924" s="38">
        <f t="shared" si="102"/>
        <v>2024</v>
      </c>
      <c r="K924" s="128">
        <f>(1+target)^($J924-(MIN(tbl_rep_mon[year])))</f>
        <v>1.5208749999999995</v>
      </c>
      <c r="L924" s="35">
        <f t="shared" si="103"/>
        <v>0.33</v>
      </c>
      <c r="M924" s="37">
        <f t="shared" si="104"/>
        <v>7229.2786500000002</v>
      </c>
    </row>
    <row r="925" spans="1:13" x14ac:dyDescent="0.4">
      <c r="A925" t="s">
        <v>8</v>
      </c>
      <c r="B925">
        <v>4</v>
      </c>
      <c r="C925" s="36">
        <v>64384.43</v>
      </c>
      <c r="D925" s="1">
        <v>45597</v>
      </c>
      <c r="E925" s="35">
        <f t="shared" si="98"/>
        <v>0.42</v>
      </c>
      <c r="F925" s="37">
        <f t="shared" si="99"/>
        <v>32192.215</v>
      </c>
      <c r="G925" s="37">
        <f t="shared" si="100"/>
        <v>13520.730299999999</v>
      </c>
      <c r="H925" s="36" cm="1">
        <f t="array" ref="H925">SUMPRODUCT((C925&gt;tier_floor)*((C925-tier_floor)*step)*margin_rate)</f>
        <v>10270.730299999999</v>
      </c>
      <c r="I925" s="37">
        <f t="shared" si="101"/>
        <v>3250</v>
      </c>
      <c r="J925" s="38">
        <f t="shared" si="102"/>
        <v>2024</v>
      </c>
      <c r="K925" s="128">
        <f>(1+target)^($J925-(MIN(tbl_rep_mon[year])))</f>
        <v>1.5208749999999995</v>
      </c>
      <c r="L925" s="35">
        <f t="shared" si="103"/>
        <v>0.33</v>
      </c>
      <c r="M925" s="37">
        <f t="shared" si="104"/>
        <v>10623.43095</v>
      </c>
    </row>
    <row r="926" spans="1:13" x14ac:dyDescent="0.4">
      <c r="A926" t="s">
        <v>15</v>
      </c>
      <c r="B926">
        <v>3</v>
      </c>
      <c r="C926" s="36">
        <v>82962.009999999995</v>
      </c>
      <c r="D926" s="1">
        <v>45597</v>
      </c>
      <c r="E926" s="35">
        <f t="shared" si="98"/>
        <v>0.51</v>
      </c>
      <c r="F926" s="37">
        <f t="shared" si="99"/>
        <v>41481.004999999997</v>
      </c>
      <c r="G926" s="37">
        <f t="shared" si="100"/>
        <v>21155.312549999999</v>
      </c>
      <c r="H926" s="36" cm="1">
        <f t="array" ref="H926">SUMPRODUCT((C926&gt;tier_floor)*((C926-tier_floor)*step)*margin_rate)</f>
        <v>14530.312549999999</v>
      </c>
      <c r="I926" s="37">
        <f t="shared" si="101"/>
        <v>6625</v>
      </c>
      <c r="J926" s="38">
        <f t="shared" si="102"/>
        <v>2024</v>
      </c>
      <c r="K926" s="128">
        <f>(1+target)^($J926-(MIN(tbl_rep_mon[year])))</f>
        <v>1.5208749999999995</v>
      </c>
      <c r="L926" s="35">
        <f t="shared" si="103"/>
        <v>0.42</v>
      </c>
      <c r="M926" s="37">
        <f t="shared" si="104"/>
        <v>17422.022099999998</v>
      </c>
    </row>
    <row r="927" spans="1:13" x14ac:dyDescent="0.4">
      <c r="A927" t="s">
        <v>18</v>
      </c>
      <c r="B927">
        <v>3</v>
      </c>
      <c r="C927" s="36">
        <v>38133.769999999997</v>
      </c>
      <c r="D927" s="1">
        <v>45597</v>
      </c>
      <c r="E927" s="35">
        <f t="shared" si="98"/>
        <v>0.33</v>
      </c>
      <c r="F927" s="37">
        <f t="shared" si="99"/>
        <v>19066.884999999998</v>
      </c>
      <c r="G927" s="37">
        <f t="shared" si="100"/>
        <v>6292.0720499999998</v>
      </c>
      <c r="H927" s="36" cm="1">
        <f t="array" ref="H927">SUMPRODUCT((C927&gt;tier_floor)*((C927-tier_floor)*step)*margin_rate)</f>
        <v>5292.0720499999998</v>
      </c>
      <c r="I927" s="37">
        <f t="shared" si="101"/>
        <v>1000</v>
      </c>
      <c r="J927" s="38">
        <f t="shared" si="102"/>
        <v>2024</v>
      </c>
      <c r="K927" s="128">
        <f>(1+target)^($J927-(MIN(tbl_rep_mon[year])))</f>
        <v>1.5208749999999995</v>
      </c>
      <c r="L927" s="35">
        <f t="shared" si="103"/>
        <v>0.33</v>
      </c>
      <c r="M927" s="37">
        <f t="shared" si="104"/>
        <v>6292.0720499999998</v>
      </c>
    </row>
    <row r="928" spans="1:13" x14ac:dyDescent="0.4">
      <c r="A928" t="s">
        <v>19</v>
      </c>
      <c r="B928">
        <v>4</v>
      </c>
      <c r="C928" s="36">
        <v>86651.02</v>
      </c>
      <c r="D928" s="1">
        <v>45597</v>
      </c>
      <c r="E928" s="35">
        <f t="shared" si="98"/>
        <v>0.51</v>
      </c>
      <c r="F928" s="37">
        <f t="shared" si="99"/>
        <v>43325.51</v>
      </c>
      <c r="G928" s="37">
        <f t="shared" si="100"/>
        <v>22096.010100000003</v>
      </c>
      <c r="H928" s="36" cm="1">
        <f t="array" ref="H928">SUMPRODUCT((C928&gt;tier_floor)*((C928-tier_floor)*step)*margin_rate)</f>
        <v>15471.010100000001</v>
      </c>
      <c r="I928" s="37">
        <f t="shared" si="101"/>
        <v>6625.0000000000018</v>
      </c>
      <c r="J928" s="38">
        <f t="shared" si="102"/>
        <v>2024</v>
      </c>
      <c r="K928" s="128">
        <f>(1+target)^($J928-(MIN(tbl_rep_mon[year])))</f>
        <v>1.5208749999999995</v>
      </c>
      <c r="L928" s="35">
        <f t="shared" si="103"/>
        <v>0.42</v>
      </c>
      <c r="M928" s="37">
        <f t="shared" si="104"/>
        <v>18196.714199999999</v>
      </c>
    </row>
    <row r="929" spans="1:13" x14ac:dyDescent="0.4">
      <c r="A929" t="s">
        <v>23</v>
      </c>
      <c r="B929">
        <v>1</v>
      </c>
      <c r="C929" s="36">
        <v>90276.86</v>
      </c>
      <c r="D929" s="1">
        <v>45597</v>
      </c>
      <c r="E929" s="35">
        <f t="shared" si="98"/>
        <v>0.51</v>
      </c>
      <c r="F929" s="37">
        <f t="shared" si="99"/>
        <v>45138.43</v>
      </c>
      <c r="G929" s="37">
        <f t="shared" si="100"/>
        <v>23020.599300000002</v>
      </c>
      <c r="H929" s="36" cm="1">
        <f t="array" ref="H929">SUMPRODUCT((C929&gt;tier_floor)*((C929-tier_floor)*step)*margin_rate)</f>
        <v>16395.599299999998</v>
      </c>
      <c r="I929" s="37">
        <f t="shared" si="101"/>
        <v>6625.0000000000036</v>
      </c>
      <c r="J929" s="38">
        <f t="shared" si="102"/>
        <v>2024</v>
      </c>
      <c r="K929" s="128">
        <f>(1+target)^($J929-(MIN(tbl_rep_mon[year])))</f>
        <v>1.5208749999999995</v>
      </c>
      <c r="L929" s="35">
        <f t="shared" si="103"/>
        <v>0.42</v>
      </c>
      <c r="M929" s="37">
        <f t="shared" si="104"/>
        <v>18958.140599999999</v>
      </c>
    </row>
    <row r="930" spans="1:13" x14ac:dyDescent="0.4">
      <c r="A930" t="s">
        <v>24</v>
      </c>
      <c r="B930">
        <v>3</v>
      </c>
      <c r="C930" s="36">
        <v>73142.320000000007</v>
      </c>
      <c r="D930" s="1">
        <v>45597</v>
      </c>
      <c r="E930" s="35">
        <f t="shared" si="98"/>
        <v>0.42</v>
      </c>
      <c r="F930" s="37">
        <f t="shared" si="99"/>
        <v>36571.160000000003</v>
      </c>
      <c r="G930" s="37">
        <f t="shared" si="100"/>
        <v>15359.887200000001</v>
      </c>
      <c r="H930" s="36" cm="1">
        <f t="array" ref="H930">SUMPRODUCT((C930&gt;tier_floor)*((C930-tier_floor)*step)*margin_rate)</f>
        <v>12109.887200000001</v>
      </c>
      <c r="I930" s="37">
        <f t="shared" si="101"/>
        <v>3250</v>
      </c>
      <c r="J930" s="38">
        <f t="shared" si="102"/>
        <v>2024</v>
      </c>
      <c r="K930" s="128">
        <f>(1+target)^($J930-(MIN(tbl_rep_mon[year])))</f>
        <v>1.5208749999999995</v>
      </c>
      <c r="L930" s="35">
        <f t="shared" si="103"/>
        <v>0.33</v>
      </c>
      <c r="M930" s="37">
        <f t="shared" si="104"/>
        <v>12068.482800000002</v>
      </c>
    </row>
    <row r="931" spans="1:13" x14ac:dyDescent="0.4">
      <c r="A931" t="s">
        <v>25</v>
      </c>
      <c r="B931">
        <v>2</v>
      </c>
      <c r="C931" s="36">
        <v>69206.91</v>
      </c>
      <c r="D931" s="1">
        <v>45597</v>
      </c>
      <c r="E931" s="35">
        <f t="shared" si="98"/>
        <v>0.42</v>
      </c>
      <c r="F931" s="37">
        <f t="shared" si="99"/>
        <v>34603.455000000002</v>
      </c>
      <c r="G931" s="37">
        <f t="shared" si="100"/>
        <v>14533.4511</v>
      </c>
      <c r="H931" s="36" cm="1">
        <f t="array" ref="H931">SUMPRODUCT((C931&gt;tier_floor)*((C931-tier_floor)*step)*margin_rate)</f>
        <v>11283.4511</v>
      </c>
      <c r="I931" s="37">
        <f t="shared" si="101"/>
        <v>3250</v>
      </c>
      <c r="J931" s="38">
        <f t="shared" si="102"/>
        <v>2024</v>
      </c>
      <c r="K931" s="128">
        <f>(1+target)^($J931-(MIN(tbl_rep_mon[year])))</f>
        <v>1.5208749999999995</v>
      </c>
      <c r="L931" s="35">
        <f t="shared" si="103"/>
        <v>0.33</v>
      </c>
      <c r="M931" s="37">
        <f t="shared" si="104"/>
        <v>11419.140150000001</v>
      </c>
    </row>
    <row r="932" spans="1:13" x14ac:dyDescent="0.4">
      <c r="A932" t="s">
        <v>29</v>
      </c>
      <c r="B932">
        <v>1</v>
      </c>
      <c r="C932" s="36">
        <v>101970.9</v>
      </c>
      <c r="D932" s="1">
        <v>45597</v>
      </c>
      <c r="E932" s="35">
        <f t="shared" si="98"/>
        <v>0.6</v>
      </c>
      <c r="F932" s="37">
        <f t="shared" si="99"/>
        <v>50985.45</v>
      </c>
      <c r="G932" s="37">
        <f t="shared" si="100"/>
        <v>30591.269999999997</v>
      </c>
      <c r="H932" s="36" cm="1">
        <f t="array" ref="H932">SUMPRODUCT((C932&gt;tier_floor)*((C932-tier_floor)*step)*margin_rate)</f>
        <v>19466.269999999997</v>
      </c>
      <c r="I932" s="37">
        <f t="shared" si="101"/>
        <v>11125</v>
      </c>
      <c r="J932" s="38">
        <f t="shared" si="102"/>
        <v>2024</v>
      </c>
      <c r="K932" s="128">
        <f>(1+target)^($J932-(MIN(tbl_rep_mon[year])))</f>
        <v>1.5208749999999995</v>
      </c>
      <c r="L932" s="35">
        <f t="shared" si="103"/>
        <v>0.42</v>
      </c>
      <c r="M932" s="37">
        <f t="shared" si="104"/>
        <v>21413.888999999999</v>
      </c>
    </row>
    <row r="933" spans="1:13" x14ac:dyDescent="0.4">
      <c r="A933" t="s">
        <v>32</v>
      </c>
      <c r="B933">
        <v>4</v>
      </c>
      <c r="C933" s="36">
        <v>78357.34</v>
      </c>
      <c r="D933" s="1">
        <v>45597</v>
      </c>
      <c r="E933" s="35">
        <f t="shared" si="98"/>
        <v>0.51</v>
      </c>
      <c r="F933" s="37">
        <f t="shared" si="99"/>
        <v>39178.67</v>
      </c>
      <c r="G933" s="37">
        <f t="shared" si="100"/>
        <v>19981.1217</v>
      </c>
      <c r="H933" s="36" cm="1">
        <f t="array" ref="H933">SUMPRODUCT((C933&gt;tier_floor)*((C933-tier_floor)*step)*margin_rate)</f>
        <v>13356.1217</v>
      </c>
      <c r="I933" s="37">
        <f t="shared" si="101"/>
        <v>6625</v>
      </c>
      <c r="J933" s="38">
        <f t="shared" si="102"/>
        <v>2024</v>
      </c>
      <c r="K933" s="128">
        <f>(1+target)^($J933-(MIN(tbl_rep_mon[year])))</f>
        <v>1.5208749999999995</v>
      </c>
      <c r="L933" s="35">
        <f t="shared" si="103"/>
        <v>0.42</v>
      </c>
      <c r="M933" s="37">
        <f t="shared" si="104"/>
        <v>16455.041399999998</v>
      </c>
    </row>
    <row r="934" spans="1:13" x14ac:dyDescent="0.4">
      <c r="A934" t="s">
        <v>33</v>
      </c>
      <c r="B934">
        <v>3</v>
      </c>
      <c r="C934" s="36">
        <v>65408.37</v>
      </c>
      <c r="D934" s="1">
        <v>45597</v>
      </c>
      <c r="E934" s="35">
        <f t="shared" si="98"/>
        <v>0.42</v>
      </c>
      <c r="F934" s="37">
        <f t="shared" si="99"/>
        <v>32704.185000000001</v>
      </c>
      <c r="G934" s="37">
        <f t="shared" si="100"/>
        <v>13735.7577</v>
      </c>
      <c r="H934" s="36" cm="1">
        <f t="array" ref="H934">SUMPRODUCT((C934&gt;tier_floor)*((C934-tier_floor)*step)*margin_rate)</f>
        <v>10485.7577</v>
      </c>
      <c r="I934" s="37">
        <f t="shared" si="101"/>
        <v>3250</v>
      </c>
      <c r="J934" s="38">
        <f t="shared" si="102"/>
        <v>2024</v>
      </c>
      <c r="K934" s="128">
        <f>(1+target)^($J934-(MIN(tbl_rep_mon[year])))</f>
        <v>1.5208749999999995</v>
      </c>
      <c r="L934" s="35">
        <f t="shared" si="103"/>
        <v>0.33</v>
      </c>
      <c r="M934" s="37">
        <f t="shared" si="104"/>
        <v>10792.381050000002</v>
      </c>
    </row>
    <row r="935" spans="1:13" x14ac:dyDescent="0.4">
      <c r="A935" t="s">
        <v>34</v>
      </c>
      <c r="B935">
        <v>4</v>
      </c>
      <c r="C935" s="36">
        <v>79449.53</v>
      </c>
      <c r="D935" s="1">
        <v>45597</v>
      </c>
      <c r="E935" s="35">
        <f t="shared" si="98"/>
        <v>0.51</v>
      </c>
      <c r="F935" s="37">
        <f t="shared" si="99"/>
        <v>39724.764999999999</v>
      </c>
      <c r="G935" s="37">
        <f t="shared" si="100"/>
        <v>20259.630150000001</v>
      </c>
      <c r="H935" s="36" cm="1">
        <f t="array" ref="H935">SUMPRODUCT((C935&gt;tier_floor)*((C935-tier_floor)*step)*margin_rate)</f>
        <v>13634.630149999999</v>
      </c>
      <c r="I935" s="37">
        <f t="shared" si="101"/>
        <v>6625.0000000000018</v>
      </c>
      <c r="J935" s="38">
        <f t="shared" si="102"/>
        <v>2024</v>
      </c>
      <c r="K935" s="128">
        <f>(1+target)^($J935-(MIN(tbl_rep_mon[year])))</f>
        <v>1.5208749999999995</v>
      </c>
      <c r="L935" s="35">
        <f t="shared" si="103"/>
        <v>0.42</v>
      </c>
      <c r="M935" s="37">
        <f t="shared" si="104"/>
        <v>16684.401299999998</v>
      </c>
    </row>
    <row r="936" spans="1:13" x14ac:dyDescent="0.4">
      <c r="A936" t="s">
        <v>35</v>
      </c>
      <c r="B936">
        <v>4</v>
      </c>
      <c r="C936" s="36">
        <v>55892.01</v>
      </c>
      <c r="D936" s="1">
        <v>45597</v>
      </c>
      <c r="E936" s="35">
        <f t="shared" si="98"/>
        <v>0.42</v>
      </c>
      <c r="F936" s="37">
        <f t="shared" si="99"/>
        <v>27946.005000000001</v>
      </c>
      <c r="G936" s="37">
        <f t="shared" si="100"/>
        <v>11737.322099999999</v>
      </c>
      <c r="H936" s="36" cm="1">
        <f t="array" ref="H936">SUMPRODUCT((C936&gt;tier_floor)*((C936-tier_floor)*step)*margin_rate)</f>
        <v>8487.3221000000012</v>
      </c>
      <c r="I936" s="37">
        <f t="shared" si="101"/>
        <v>3249.9999999999982</v>
      </c>
      <c r="J936" s="38">
        <f t="shared" si="102"/>
        <v>2024</v>
      </c>
      <c r="K936" s="128">
        <f>(1+target)^($J936-(MIN(tbl_rep_mon[year])))</f>
        <v>1.5208749999999995</v>
      </c>
      <c r="L936" s="35">
        <f t="shared" si="103"/>
        <v>0.33</v>
      </c>
      <c r="M936" s="37">
        <f t="shared" si="104"/>
        <v>9222.1816500000004</v>
      </c>
    </row>
    <row r="937" spans="1:13" x14ac:dyDescent="0.4">
      <c r="A937" t="s">
        <v>37</v>
      </c>
      <c r="B937">
        <v>4</v>
      </c>
      <c r="C937" s="36">
        <v>69686.58</v>
      </c>
      <c r="D937" s="1">
        <v>45597</v>
      </c>
      <c r="E937" s="35">
        <f t="shared" si="98"/>
        <v>0.42</v>
      </c>
      <c r="F937" s="37">
        <f t="shared" si="99"/>
        <v>34843.29</v>
      </c>
      <c r="G937" s="37">
        <f t="shared" si="100"/>
        <v>14634.1818</v>
      </c>
      <c r="H937" s="36" cm="1">
        <f t="array" ref="H937">SUMPRODUCT((C937&gt;tier_floor)*((C937-tier_floor)*step)*margin_rate)</f>
        <v>11384.1818</v>
      </c>
      <c r="I937" s="37">
        <f t="shared" si="101"/>
        <v>3250</v>
      </c>
      <c r="J937" s="38">
        <f t="shared" si="102"/>
        <v>2024</v>
      </c>
      <c r="K937" s="128">
        <f>(1+target)^($J937-(MIN(tbl_rep_mon[year])))</f>
        <v>1.5208749999999995</v>
      </c>
      <c r="L937" s="35">
        <f t="shared" si="103"/>
        <v>0.33</v>
      </c>
      <c r="M937" s="37">
        <f t="shared" si="104"/>
        <v>11498.2857</v>
      </c>
    </row>
    <row r="938" spans="1:13" x14ac:dyDescent="0.4">
      <c r="A938" t="s">
        <v>38</v>
      </c>
      <c r="B938">
        <v>2</v>
      </c>
      <c r="C938" s="36">
        <v>72782.48</v>
      </c>
      <c r="D938" s="1">
        <v>45597</v>
      </c>
      <c r="E938" s="35">
        <f t="shared" si="98"/>
        <v>0.42</v>
      </c>
      <c r="F938" s="37">
        <f t="shared" si="99"/>
        <v>36391.24</v>
      </c>
      <c r="G938" s="37">
        <f t="shared" si="100"/>
        <v>15284.320799999998</v>
      </c>
      <c r="H938" s="36" cm="1">
        <f t="array" ref="H938">SUMPRODUCT((C938&gt;tier_floor)*((C938-tier_floor)*step)*margin_rate)</f>
        <v>12034.320799999998</v>
      </c>
      <c r="I938" s="37">
        <f t="shared" si="101"/>
        <v>3250</v>
      </c>
      <c r="J938" s="38">
        <f t="shared" si="102"/>
        <v>2024</v>
      </c>
      <c r="K938" s="128">
        <f>(1+target)^($J938-(MIN(tbl_rep_mon[year])))</f>
        <v>1.5208749999999995</v>
      </c>
      <c r="L938" s="35">
        <f t="shared" si="103"/>
        <v>0.33</v>
      </c>
      <c r="M938" s="37">
        <f t="shared" si="104"/>
        <v>12009.109200000001</v>
      </c>
    </row>
    <row r="939" spans="1:13" x14ac:dyDescent="0.4">
      <c r="A939" t="s">
        <v>39</v>
      </c>
      <c r="B939">
        <v>2</v>
      </c>
      <c r="C939" s="36">
        <v>82194.19</v>
      </c>
      <c r="D939" s="1">
        <v>45597</v>
      </c>
      <c r="E939" s="35">
        <f t="shared" si="98"/>
        <v>0.51</v>
      </c>
      <c r="F939" s="37">
        <f t="shared" si="99"/>
        <v>41097.095000000001</v>
      </c>
      <c r="G939" s="37">
        <f t="shared" si="100"/>
        <v>20959.51845</v>
      </c>
      <c r="H939" s="36" cm="1">
        <f t="array" ref="H939">SUMPRODUCT((C939&gt;tier_floor)*((C939-tier_floor)*step)*margin_rate)</f>
        <v>14334.518450000001</v>
      </c>
      <c r="I939" s="37">
        <f t="shared" si="101"/>
        <v>6624.9999999999982</v>
      </c>
      <c r="J939" s="38">
        <f t="shared" si="102"/>
        <v>2024</v>
      </c>
      <c r="K939" s="128">
        <f>(1+target)^($J939-(MIN(tbl_rep_mon[year])))</f>
        <v>1.5208749999999995</v>
      </c>
      <c r="L939" s="35">
        <f t="shared" si="103"/>
        <v>0.42</v>
      </c>
      <c r="M939" s="37">
        <f t="shared" si="104"/>
        <v>17260.779900000001</v>
      </c>
    </row>
    <row r="940" spans="1:13" x14ac:dyDescent="0.4">
      <c r="A940" t="s">
        <v>40</v>
      </c>
      <c r="B940">
        <v>4</v>
      </c>
      <c r="C940" s="36">
        <v>42844.23</v>
      </c>
      <c r="D940" s="1">
        <v>45597</v>
      </c>
      <c r="E940" s="35">
        <f t="shared" si="98"/>
        <v>0.33</v>
      </c>
      <c r="F940" s="37">
        <f t="shared" si="99"/>
        <v>21422.115000000002</v>
      </c>
      <c r="G940" s="37">
        <f t="shared" si="100"/>
        <v>7069.297950000001</v>
      </c>
      <c r="H940" s="36" cm="1">
        <f t="array" ref="H940">SUMPRODUCT((C940&gt;tier_floor)*((C940-tier_floor)*step)*margin_rate)</f>
        <v>6069.297950000001</v>
      </c>
      <c r="I940" s="37">
        <f t="shared" si="101"/>
        <v>1000</v>
      </c>
      <c r="J940" s="38">
        <f t="shared" si="102"/>
        <v>2024</v>
      </c>
      <c r="K940" s="128">
        <f>(1+target)^($J940-(MIN(tbl_rep_mon[year])))</f>
        <v>1.5208749999999995</v>
      </c>
      <c r="L940" s="35">
        <f t="shared" si="103"/>
        <v>0.33</v>
      </c>
      <c r="M940" s="37">
        <f t="shared" si="104"/>
        <v>7069.297950000001</v>
      </c>
    </row>
    <row r="941" spans="1:13" x14ac:dyDescent="0.4">
      <c r="A941" t="s">
        <v>41</v>
      </c>
      <c r="B941">
        <v>2</v>
      </c>
      <c r="C941" s="36">
        <v>83382.61</v>
      </c>
      <c r="D941" s="1">
        <v>45597</v>
      </c>
      <c r="E941" s="35">
        <f t="shared" si="98"/>
        <v>0.51</v>
      </c>
      <c r="F941" s="37">
        <f t="shared" si="99"/>
        <v>41691.305</v>
      </c>
      <c r="G941" s="37">
        <f t="shared" si="100"/>
        <v>21262.565549999999</v>
      </c>
      <c r="H941" s="36" cm="1">
        <f t="array" ref="H941">SUMPRODUCT((C941&gt;tier_floor)*((C941-tier_floor)*step)*margin_rate)</f>
        <v>14637.565550000001</v>
      </c>
      <c r="I941" s="37">
        <f t="shared" si="101"/>
        <v>6624.9999999999982</v>
      </c>
      <c r="J941" s="38">
        <f t="shared" si="102"/>
        <v>2024</v>
      </c>
      <c r="K941" s="128">
        <f>(1+target)^($J941-(MIN(tbl_rep_mon[year])))</f>
        <v>1.5208749999999995</v>
      </c>
      <c r="L941" s="35">
        <f t="shared" si="103"/>
        <v>0.42</v>
      </c>
      <c r="M941" s="37">
        <f t="shared" si="104"/>
        <v>17510.348099999999</v>
      </c>
    </row>
    <row r="942" spans="1:13" x14ac:dyDescent="0.4">
      <c r="A942" t="s">
        <v>42</v>
      </c>
      <c r="B942">
        <v>3</v>
      </c>
      <c r="C942" s="36">
        <v>26009.72</v>
      </c>
      <c r="D942" s="1">
        <v>45597</v>
      </c>
      <c r="E942" s="35">
        <f t="shared" si="98"/>
        <v>0.33</v>
      </c>
      <c r="F942" s="37">
        <f t="shared" si="99"/>
        <v>13004.86</v>
      </c>
      <c r="G942" s="37">
        <f t="shared" si="100"/>
        <v>4291.6038000000008</v>
      </c>
      <c r="H942" s="36" cm="1">
        <f t="array" ref="H942">SUMPRODUCT((C942&gt;tier_floor)*((C942-tier_floor)*step)*margin_rate)</f>
        <v>3291.6038000000003</v>
      </c>
      <c r="I942" s="37">
        <f t="shared" si="101"/>
        <v>1000.0000000000005</v>
      </c>
      <c r="J942" s="38">
        <f t="shared" si="102"/>
        <v>2024</v>
      </c>
      <c r="K942" s="128">
        <f>(1+target)^($J942-(MIN(tbl_rep_mon[year])))</f>
        <v>1.5208749999999995</v>
      </c>
      <c r="L942" s="35">
        <f t="shared" si="103"/>
        <v>0.25</v>
      </c>
      <c r="M942" s="37">
        <f t="shared" si="104"/>
        <v>3251.2150000000001</v>
      </c>
    </row>
    <row r="943" spans="1:13" x14ac:dyDescent="0.4">
      <c r="A943" t="s">
        <v>6</v>
      </c>
      <c r="B943">
        <v>2</v>
      </c>
      <c r="C943" s="36">
        <v>70640.5</v>
      </c>
      <c r="D943" s="1">
        <v>45627</v>
      </c>
      <c r="E943" s="35">
        <f t="shared" si="98"/>
        <v>0.42</v>
      </c>
      <c r="F943" s="37">
        <f t="shared" si="99"/>
        <v>35320.25</v>
      </c>
      <c r="G943" s="37">
        <f t="shared" si="100"/>
        <v>14834.504999999999</v>
      </c>
      <c r="H943" s="36" cm="1">
        <f t="array" ref="H943">SUMPRODUCT((C943&gt;tier_floor)*((C943-tier_floor)*step)*margin_rate)</f>
        <v>11584.505000000001</v>
      </c>
      <c r="I943" s="37">
        <f t="shared" si="101"/>
        <v>3249.9999999999982</v>
      </c>
      <c r="J943" s="38">
        <f t="shared" si="102"/>
        <v>2024</v>
      </c>
      <c r="K943" s="128">
        <f>(1+target)^($J943-(MIN(tbl_rep_mon[year])))</f>
        <v>1.5208749999999995</v>
      </c>
      <c r="L943" s="35">
        <f t="shared" si="103"/>
        <v>0.33</v>
      </c>
      <c r="M943" s="37">
        <f t="shared" si="104"/>
        <v>11655.682500000001</v>
      </c>
    </row>
    <row r="944" spans="1:13" x14ac:dyDescent="0.4">
      <c r="A944" t="s">
        <v>8</v>
      </c>
      <c r="B944">
        <v>4</v>
      </c>
      <c r="C944" s="36">
        <v>56363.15</v>
      </c>
      <c r="D944" s="1">
        <v>45627</v>
      </c>
      <c r="E944" s="35">
        <f t="shared" si="98"/>
        <v>0.42</v>
      </c>
      <c r="F944" s="37">
        <f t="shared" si="99"/>
        <v>28181.575000000001</v>
      </c>
      <c r="G944" s="37">
        <f t="shared" si="100"/>
        <v>11836.261500000001</v>
      </c>
      <c r="H944" s="36" cm="1">
        <f t="array" ref="H944">SUMPRODUCT((C944&gt;tier_floor)*((C944-tier_floor)*step)*margin_rate)</f>
        <v>8586.2615000000005</v>
      </c>
      <c r="I944" s="37">
        <f t="shared" si="101"/>
        <v>3250</v>
      </c>
      <c r="J944" s="38">
        <f t="shared" si="102"/>
        <v>2024</v>
      </c>
      <c r="K944" s="128">
        <f>(1+target)^($J944-(MIN(tbl_rep_mon[year])))</f>
        <v>1.5208749999999995</v>
      </c>
      <c r="L944" s="35">
        <f t="shared" si="103"/>
        <v>0.33</v>
      </c>
      <c r="M944" s="37">
        <f t="shared" si="104"/>
        <v>9299.9197500000009</v>
      </c>
    </row>
    <row r="945" spans="1:13" x14ac:dyDescent="0.4">
      <c r="A945" t="s">
        <v>15</v>
      </c>
      <c r="B945">
        <v>3</v>
      </c>
      <c r="C945" s="36">
        <v>72192.06</v>
      </c>
      <c r="D945" s="1">
        <v>45627</v>
      </c>
      <c r="E945" s="35">
        <f t="shared" si="98"/>
        <v>0.42</v>
      </c>
      <c r="F945" s="37">
        <f t="shared" si="99"/>
        <v>36096.03</v>
      </c>
      <c r="G945" s="37">
        <f t="shared" si="100"/>
        <v>15160.3326</v>
      </c>
      <c r="H945" s="36" cm="1">
        <f t="array" ref="H945">SUMPRODUCT((C945&gt;tier_floor)*((C945-tier_floor)*step)*margin_rate)</f>
        <v>11910.3326</v>
      </c>
      <c r="I945" s="37">
        <f t="shared" si="101"/>
        <v>3250</v>
      </c>
      <c r="J945" s="38">
        <f t="shared" si="102"/>
        <v>2024</v>
      </c>
      <c r="K945" s="128">
        <f>(1+target)^($J945-(MIN(tbl_rep_mon[year])))</f>
        <v>1.5208749999999995</v>
      </c>
      <c r="L945" s="35">
        <f t="shared" si="103"/>
        <v>0.33</v>
      </c>
      <c r="M945" s="37">
        <f t="shared" si="104"/>
        <v>11911.689899999999</v>
      </c>
    </row>
    <row r="946" spans="1:13" x14ac:dyDescent="0.4">
      <c r="A946" t="s">
        <v>19</v>
      </c>
      <c r="B946">
        <v>4</v>
      </c>
      <c r="C946" s="36">
        <v>64298.5</v>
      </c>
      <c r="D946" s="1">
        <v>45627</v>
      </c>
      <c r="E946" s="35">
        <f t="shared" si="98"/>
        <v>0.42</v>
      </c>
      <c r="F946" s="37">
        <f t="shared" si="99"/>
        <v>32149.25</v>
      </c>
      <c r="G946" s="37">
        <f t="shared" si="100"/>
        <v>13502.684999999999</v>
      </c>
      <c r="H946" s="36" cm="1">
        <f t="array" ref="H946">SUMPRODUCT((C946&gt;tier_floor)*((C946-tier_floor)*step)*margin_rate)</f>
        <v>10252.684999999999</v>
      </c>
      <c r="I946" s="37">
        <f t="shared" si="101"/>
        <v>3250</v>
      </c>
      <c r="J946" s="38">
        <f t="shared" si="102"/>
        <v>2024</v>
      </c>
      <c r="K946" s="128">
        <f>(1+target)^($J946-(MIN(tbl_rep_mon[year])))</f>
        <v>1.5208749999999995</v>
      </c>
      <c r="L946" s="35">
        <f t="shared" si="103"/>
        <v>0.33</v>
      </c>
      <c r="M946" s="37">
        <f t="shared" si="104"/>
        <v>10609.252500000001</v>
      </c>
    </row>
    <row r="947" spans="1:13" x14ac:dyDescent="0.4">
      <c r="A947" t="s">
        <v>23</v>
      </c>
      <c r="B947">
        <v>1</v>
      </c>
      <c r="C947" s="36">
        <v>107537.15</v>
      </c>
      <c r="D947" s="1">
        <v>45627</v>
      </c>
      <c r="E947" s="35">
        <f t="shared" si="98"/>
        <v>0.6</v>
      </c>
      <c r="F947" s="37">
        <f t="shared" si="99"/>
        <v>53768.574999999997</v>
      </c>
      <c r="G947" s="37">
        <f t="shared" si="100"/>
        <v>32261.144999999997</v>
      </c>
      <c r="H947" s="36" cm="1">
        <f t="array" ref="H947">SUMPRODUCT((C947&gt;tier_floor)*((C947-tier_floor)*step)*margin_rate)</f>
        <v>21136.145</v>
      </c>
      <c r="I947" s="37">
        <f t="shared" si="101"/>
        <v>11124.999999999996</v>
      </c>
      <c r="J947" s="38">
        <f t="shared" si="102"/>
        <v>2024</v>
      </c>
      <c r="K947" s="128">
        <f>(1+target)^($J947-(MIN(tbl_rep_mon[year])))</f>
        <v>1.5208749999999995</v>
      </c>
      <c r="L947" s="35">
        <f t="shared" si="103"/>
        <v>0.42</v>
      </c>
      <c r="M947" s="37">
        <f t="shared" si="104"/>
        <v>22582.801499999998</v>
      </c>
    </row>
    <row r="948" spans="1:13" x14ac:dyDescent="0.4">
      <c r="A948" t="s">
        <v>24</v>
      </c>
      <c r="B948">
        <v>3</v>
      </c>
      <c r="C948" s="36">
        <v>59232.01</v>
      </c>
      <c r="D948" s="1">
        <v>45627</v>
      </c>
      <c r="E948" s="35">
        <f t="shared" si="98"/>
        <v>0.42</v>
      </c>
      <c r="F948" s="37">
        <f t="shared" si="99"/>
        <v>29616.005000000001</v>
      </c>
      <c r="G948" s="37">
        <f t="shared" si="100"/>
        <v>12438.722100000001</v>
      </c>
      <c r="H948" s="36" cm="1">
        <f t="array" ref="H948">SUMPRODUCT((C948&gt;tier_floor)*((C948-tier_floor)*step)*margin_rate)</f>
        <v>9188.7221000000009</v>
      </c>
      <c r="I948" s="37">
        <f t="shared" si="101"/>
        <v>3250</v>
      </c>
      <c r="J948" s="38">
        <f t="shared" si="102"/>
        <v>2024</v>
      </c>
      <c r="K948" s="128">
        <f>(1+target)^($J948-(MIN(tbl_rep_mon[year])))</f>
        <v>1.5208749999999995</v>
      </c>
      <c r="L948" s="35">
        <f t="shared" si="103"/>
        <v>0.33</v>
      </c>
      <c r="M948" s="37">
        <f t="shared" si="104"/>
        <v>9773.2816500000008</v>
      </c>
    </row>
    <row r="949" spans="1:13" x14ac:dyDescent="0.4">
      <c r="A949" t="s">
        <v>25</v>
      </c>
      <c r="B949">
        <v>2</v>
      </c>
      <c r="C949" s="36">
        <v>75246.61</v>
      </c>
      <c r="D949" s="1">
        <v>45627</v>
      </c>
      <c r="E949" s="35">
        <f t="shared" si="98"/>
        <v>0.51</v>
      </c>
      <c r="F949" s="37">
        <f t="shared" si="99"/>
        <v>37623.305</v>
      </c>
      <c r="G949" s="37">
        <f t="shared" si="100"/>
        <v>19187.885549999999</v>
      </c>
      <c r="H949" s="36" cm="1">
        <f t="array" ref="H949">SUMPRODUCT((C949&gt;tier_floor)*((C949-tier_floor)*step)*margin_rate)</f>
        <v>12562.885549999999</v>
      </c>
      <c r="I949" s="37">
        <f t="shared" si="101"/>
        <v>6625</v>
      </c>
      <c r="J949" s="38">
        <f t="shared" si="102"/>
        <v>2024</v>
      </c>
      <c r="K949" s="128">
        <f>(1+target)^($J949-(MIN(tbl_rep_mon[year])))</f>
        <v>1.5208749999999995</v>
      </c>
      <c r="L949" s="35">
        <f t="shared" si="103"/>
        <v>0.33</v>
      </c>
      <c r="M949" s="37">
        <f t="shared" si="104"/>
        <v>12415.69065</v>
      </c>
    </row>
    <row r="950" spans="1:13" x14ac:dyDescent="0.4">
      <c r="A950" t="s">
        <v>29</v>
      </c>
      <c r="B950">
        <v>1</v>
      </c>
      <c r="C950" s="36">
        <v>114979.68</v>
      </c>
      <c r="D950" s="1">
        <v>45627</v>
      </c>
      <c r="E950" s="35">
        <f t="shared" si="98"/>
        <v>0.6</v>
      </c>
      <c r="F950" s="37">
        <f t="shared" si="99"/>
        <v>57489.84</v>
      </c>
      <c r="G950" s="37">
        <f t="shared" si="100"/>
        <v>34493.903999999995</v>
      </c>
      <c r="H950" s="36" cm="1">
        <f t="array" ref="H950">SUMPRODUCT((C950&gt;tier_floor)*((C950-tier_floor)*step)*margin_rate)</f>
        <v>23368.903999999995</v>
      </c>
      <c r="I950" s="37">
        <f t="shared" si="101"/>
        <v>11125</v>
      </c>
      <c r="J950" s="38">
        <f t="shared" si="102"/>
        <v>2024</v>
      </c>
      <c r="K950" s="128">
        <f>(1+target)^($J950-(MIN(tbl_rep_mon[year])))</f>
        <v>1.5208749999999995</v>
      </c>
      <c r="L950" s="35">
        <f t="shared" si="103"/>
        <v>0.51</v>
      </c>
      <c r="M950" s="37">
        <f t="shared" si="104"/>
        <v>29319.8184</v>
      </c>
    </row>
    <row r="951" spans="1:13" x14ac:dyDescent="0.4">
      <c r="A951" t="s">
        <v>32</v>
      </c>
      <c r="B951">
        <v>4</v>
      </c>
      <c r="C951" s="36">
        <v>58391.1</v>
      </c>
      <c r="D951" s="1">
        <v>45627</v>
      </c>
      <c r="E951" s="35">
        <f t="shared" si="98"/>
        <v>0.42</v>
      </c>
      <c r="F951" s="37">
        <f t="shared" si="99"/>
        <v>29195.55</v>
      </c>
      <c r="G951" s="37">
        <f t="shared" si="100"/>
        <v>12262.130999999999</v>
      </c>
      <c r="H951" s="36" cm="1">
        <f t="array" ref="H951">SUMPRODUCT((C951&gt;tier_floor)*((C951-tier_floor)*step)*margin_rate)</f>
        <v>9012.1310000000012</v>
      </c>
      <c r="I951" s="37">
        <f t="shared" si="101"/>
        <v>3249.9999999999982</v>
      </c>
      <c r="J951" s="38">
        <f t="shared" si="102"/>
        <v>2024</v>
      </c>
      <c r="K951" s="128">
        <f>(1+target)^($J951-(MIN(tbl_rep_mon[year])))</f>
        <v>1.5208749999999995</v>
      </c>
      <c r="L951" s="35">
        <f t="shared" si="103"/>
        <v>0.33</v>
      </c>
      <c r="M951" s="37">
        <f t="shared" si="104"/>
        <v>9634.531500000001</v>
      </c>
    </row>
    <row r="952" spans="1:13" x14ac:dyDescent="0.4">
      <c r="A952" t="s">
        <v>33</v>
      </c>
      <c r="B952">
        <v>3</v>
      </c>
      <c r="C952" s="36">
        <v>61938.99</v>
      </c>
      <c r="D952" s="1">
        <v>45627</v>
      </c>
      <c r="E952" s="35">
        <f t="shared" si="98"/>
        <v>0.42</v>
      </c>
      <c r="F952" s="37">
        <f t="shared" si="99"/>
        <v>30969.494999999999</v>
      </c>
      <c r="G952" s="37">
        <f t="shared" si="100"/>
        <v>13007.187899999999</v>
      </c>
      <c r="H952" s="36" cm="1">
        <f t="array" ref="H952">SUMPRODUCT((C952&gt;tier_floor)*((C952-tier_floor)*step)*margin_rate)</f>
        <v>9757.187899999999</v>
      </c>
      <c r="I952" s="37">
        <f t="shared" si="101"/>
        <v>3250</v>
      </c>
      <c r="J952" s="38">
        <f t="shared" si="102"/>
        <v>2024</v>
      </c>
      <c r="K952" s="128">
        <f>(1+target)^($J952-(MIN(tbl_rep_mon[year])))</f>
        <v>1.5208749999999995</v>
      </c>
      <c r="L952" s="35">
        <f t="shared" si="103"/>
        <v>0.33</v>
      </c>
      <c r="M952" s="37">
        <f t="shared" si="104"/>
        <v>10219.933349999999</v>
      </c>
    </row>
    <row r="953" spans="1:13" x14ac:dyDescent="0.4">
      <c r="A953" t="s">
        <v>34</v>
      </c>
      <c r="B953">
        <v>4</v>
      </c>
      <c r="C953" s="36">
        <v>78704.429999999993</v>
      </c>
      <c r="D953" s="1">
        <v>45627</v>
      </c>
      <c r="E953" s="35">
        <f t="shared" si="98"/>
        <v>0.51</v>
      </c>
      <c r="F953" s="37">
        <f t="shared" si="99"/>
        <v>39352.214999999997</v>
      </c>
      <c r="G953" s="37">
        <f t="shared" si="100"/>
        <v>20069.629649999999</v>
      </c>
      <c r="H953" s="36" cm="1">
        <f t="array" ref="H953">SUMPRODUCT((C953&gt;tier_floor)*((C953-tier_floor)*step)*margin_rate)</f>
        <v>13444.629649999997</v>
      </c>
      <c r="I953" s="37">
        <f t="shared" si="101"/>
        <v>6625.0000000000018</v>
      </c>
      <c r="J953" s="38">
        <f t="shared" si="102"/>
        <v>2024</v>
      </c>
      <c r="K953" s="128">
        <f>(1+target)^($J953-(MIN(tbl_rep_mon[year])))</f>
        <v>1.5208749999999995</v>
      </c>
      <c r="L953" s="35">
        <f t="shared" si="103"/>
        <v>0.42</v>
      </c>
      <c r="M953" s="37">
        <f t="shared" si="104"/>
        <v>16527.930299999996</v>
      </c>
    </row>
    <row r="954" spans="1:13" x14ac:dyDescent="0.4">
      <c r="A954" t="s">
        <v>35</v>
      </c>
      <c r="B954">
        <v>4</v>
      </c>
      <c r="C954" s="36">
        <v>57433.71</v>
      </c>
      <c r="D954" s="1">
        <v>45627</v>
      </c>
      <c r="E954" s="35">
        <f t="shared" si="98"/>
        <v>0.42</v>
      </c>
      <c r="F954" s="37">
        <f t="shared" si="99"/>
        <v>28716.855</v>
      </c>
      <c r="G954" s="37">
        <f t="shared" si="100"/>
        <v>12061.079099999999</v>
      </c>
      <c r="H954" s="36" cm="1">
        <f t="array" ref="H954">SUMPRODUCT((C954&gt;tier_floor)*((C954-tier_floor)*step)*margin_rate)</f>
        <v>8811.079099999999</v>
      </c>
      <c r="I954" s="37">
        <f t="shared" si="101"/>
        <v>3250</v>
      </c>
      <c r="J954" s="38">
        <f t="shared" si="102"/>
        <v>2024</v>
      </c>
      <c r="K954" s="128">
        <f>(1+target)^($J954-(MIN(tbl_rep_mon[year])))</f>
        <v>1.5208749999999995</v>
      </c>
      <c r="L954" s="35">
        <f t="shared" si="103"/>
        <v>0.33</v>
      </c>
      <c r="M954" s="37">
        <f t="shared" si="104"/>
        <v>9476.5621499999997</v>
      </c>
    </row>
    <row r="955" spans="1:13" x14ac:dyDescent="0.4">
      <c r="A955" t="s">
        <v>37</v>
      </c>
      <c r="B955">
        <v>4</v>
      </c>
      <c r="C955" s="36">
        <v>59207.98</v>
      </c>
      <c r="D955" s="1">
        <v>45627</v>
      </c>
      <c r="E955" s="35">
        <f t="shared" si="98"/>
        <v>0.42</v>
      </c>
      <c r="F955" s="37">
        <f t="shared" si="99"/>
        <v>29603.99</v>
      </c>
      <c r="G955" s="37">
        <f t="shared" si="100"/>
        <v>12433.675800000001</v>
      </c>
      <c r="H955" s="36" cm="1">
        <f t="array" ref="H955">SUMPRODUCT((C955&gt;tier_floor)*((C955-tier_floor)*step)*margin_rate)</f>
        <v>9183.6758000000009</v>
      </c>
      <c r="I955" s="37">
        <f t="shared" si="101"/>
        <v>3250</v>
      </c>
      <c r="J955" s="38">
        <f t="shared" si="102"/>
        <v>2024</v>
      </c>
      <c r="K955" s="128">
        <f>(1+target)^($J955-(MIN(tbl_rep_mon[year])))</f>
        <v>1.5208749999999995</v>
      </c>
      <c r="L955" s="35">
        <f t="shared" si="103"/>
        <v>0.33</v>
      </c>
      <c r="M955" s="37">
        <f t="shared" si="104"/>
        <v>9769.3167000000012</v>
      </c>
    </row>
    <row r="956" spans="1:13" x14ac:dyDescent="0.4">
      <c r="A956" t="s">
        <v>38</v>
      </c>
      <c r="B956">
        <v>2</v>
      </c>
      <c r="C956" s="36">
        <v>92462.26</v>
      </c>
      <c r="D956" s="1">
        <v>45627</v>
      </c>
      <c r="E956" s="35">
        <f t="shared" si="98"/>
        <v>0.51</v>
      </c>
      <c r="F956" s="37">
        <f t="shared" si="99"/>
        <v>46231.13</v>
      </c>
      <c r="G956" s="37">
        <f t="shared" si="100"/>
        <v>23577.8763</v>
      </c>
      <c r="H956" s="36" cm="1">
        <f t="array" ref="H956">SUMPRODUCT((C956&gt;tier_floor)*((C956-tier_floor)*step)*margin_rate)</f>
        <v>16952.8763</v>
      </c>
      <c r="I956" s="37">
        <f t="shared" si="101"/>
        <v>6625</v>
      </c>
      <c r="J956" s="38">
        <f t="shared" si="102"/>
        <v>2024</v>
      </c>
      <c r="K956" s="128">
        <f>(1+target)^($J956-(MIN(tbl_rep_mon[year])))</f>
        <v>1.5208749999999995</v>
      </c>
      <c r="L956" s="35">
        <f t="shared" si="103"/>
        <v>0.42</v>
      </c>
      <c r="M956" s="37">
        <f t="shared" si="104"/>
        <v>19417.0746</v>
      </c>
    </row>
    <row r="957" spans="1:13" x14ac:dyDescent="0.4">
      <c r="A957" t="s">
        <v>39</v>
      </c>
      <c r="B957">
        <v>2</v>
      </c>
      <c r="C957" s="36">
        <v>83693.72</v>
      </c>
      <c r="D957" s="1">
        <v>45627</v>
      </c>
      <c r="E957" s="35">
        <f t="shared" si="98"/>
        <v>0.51</v>
      </c>
      <c r="F957" s="37">
        <f t="shared" si="99"/>
        <v>41846.86</v>
      </c>
      <c r="G957" s="37">
        <f t="shared" si="100"/>
        <v>21341.8986</v>
      </c>
      <c r="H957" s="36" cm="1">
        <f t="array" ref="H957">SUMPRODUCT((C957&gt;tier_floor)*((C957-tier_floor)*step)*margin_rate)</f>
        <v>14716.8986</v>
      </c>
      <c r="I957" s="37">
        <f t="shared" si="101"/>
        <v>6625</v>
      </c>
      <c r="J957" s="38">
        <f t="shared" si="102"/>
        <v>2024</v>
      </c>
      <c r="K957" s="128">
        <f>(1+target)^($J957-(MIN(tbl_rep_mon[year])))</f>
        <v>1.5208749999999995</v>
      </c>
      <c r="L957" s="35">
        <f t="shared" si="103"/>
        <v>0.42</v>
      </c>
      <c r="M957" s="37">
        <f t="shared" si="104"/>
        <v>17575.681199999999</v>
      </c>
    </row>
    <row r="958" spans="1:13" x14ac:dyDescent="0.4">
      <c r="A958" t="s">
        <v>40</v>
      </c>
      <c r="B958">
        <v>4</v>
      </c>
      <c r="C958" s="36">
        <v>46927.24</v>
      </c>
      <c r="D958" s="1">
        <v>45627</v>
      </c>
      <c r="E958" s="35">
        <f t="shared" si="98"/>
        <v>0.33</v>
      </c>
      <c r="F958" s="37">
        <f t="shared" si="99"/>
        <v>23463.62</v>
      </c>
      <c r="G958" s="37">
        <f t="shared" si="100"/>
        <v>7742.9946</v>
      </c>
      <c r="H958" s="36" cm="1">
        <f t="array" ref="H958">SUMPRODUCT((C958&gt;tier_floor)*((C958-tier_floor)*step)*margin_rate)</f>
        <v>6742.9946</v>
      </c>
      <c r="I958" s="37">
        <f t="shared" si="101"/>
        <v>1000</v>
      </c>
      <c r="J958" s="38">
        <f t="shared" si="102"/>
        <v>2024</v>
      </c>
      <c r="K958" s="128">
        <f>(1+target)^($J958-(MIN(tbl_rep_mon[year])))</f>
        <v>1.5208749999999995</v>
      </c>
      <c r="L958" s="35">
        <f t="shared" si="103"/>
        <v>0.33</v>
      </c>
      <c r="M958" s="37">
        <f t="shared" si="104"/>
        <v>7742.9946</v>
      </c>
    </row>
    <row r="959" spans="1:13" x14ac:dyDescent="0.4">
      <c r="A959" t="s">
        <v>41</v>
      </c>
      <c r="B959">
        <v>2</v>
      </c>
      <c r="C959" s="36">
        <v>72332.25</v>
      </c>
      <c r="D959" s="1">
        <v>45627</v>
      </c>
      <c r="E959" s="35">
        <f t="shared" si="98"/>
        <v>0.42</v>
      </c>
      <c r="F959" s="37">
        <f t="shared" si="99"/>
        <v>36166.125</v>
      </c>
      <c r="G959" s="37">
        <f t="shared" si="100"/>
        <v>15189.772499999999</v>
      </c>
      <c r="H959" s="36" cm="1">
        <f t="array" ref="H959">SUMPRODUCT((C959&gt;tier_floor)*((C959-tier_floor)*step)*margin_rate)</f>
        <v>11939.772500000001</v>
      </c>
      <c r="I959" s="37">
        <f t="shared" si="101"/>
        <v>3249.9999999999982</v>
      </c>
      <c r="J959" s="38">
        <f t="shared" si="102"/>
        <v>2024</v>
      </c>
      <c r="K959" s="128">
        <f>(1+target)^($J959-(MIN(tbl_rep_mon[year])))</f>
        <v>1.5208749999999995</v>
      </c>
      <c r="L959" s="35">
        <f t="shared" si="103"/>
        <v>0.33</v>
      </c>
      <c r="M959" s="37">
        <f t="shared" si="104"/>
        <v>11934.821250000001</v>
      </c>
    </row>
    <row r="960" spans="1:13" x14ac:dyDescent="0.4">
      <c r="A960" t="s">
        <v>43</v>
      </c>
      <c r="B960">
        <v>4</v>
      </c>
      <c r="C960" s="36">
        <v>39587.53</v>
      </c>
      <c r="D960" s="1">
        <v>45627</v>
      </c>
      <c r="E960" s="35">
        <f t="shared" si="98"/>
        <v>0.33</v>
      </c>
      <c r="F960" s="37">
        <f t="shared" si="99"/>
        <v>19793.764999999999</v>
      </c>
      <c r="G960" s="37">
        <f t="shared" si="100"/>
        <v>6531.9424500000005</v>
      </c>
      <c r="H960" s="36" cm="1">
        <f t="array" ref="H960">SUMPRODUCT((C960&gt;tier_floor)*((C960-tier_floor)*step)*margin_rate)</f>
        <v>5531.9424499999996</v>
      </c>
      <c r="I960" s="37">
        <f t="shared" si="101"/>
        <v>1000.0000000000009</v>
      </c>
      <c r="J960" s="38">
        <f t="shared" si="102"/>
        <v>2024</v>
      </c>
      <c r="K960" s="128">
        <f>(1+target)^($J960-(MIN(tbl_rep_mon[year])))</f>
        <v>1.5208749999999995</v>
      </c>
      <c r="L960" s="35">
        <f t="shared" si="103"/>
        <v>0.33</v>
      </c>
      <c r="M960" s="37">
        <f t="shared" si="104"/>
        <v>6531.9424500000005</v>
      </c>
    </row>
    <row r="961" spans="1:13" x14ac:dyDescent="0.4">
      <c r="A961" t="s">
        <v>44</v>
      </c>
      <c r="B961">
        <v>3</v>
      </c>
      <c r="C961" s="36">
        <v>10653.4</v>
      </c>
      <c r="D961" s="1">
        <v>45627</v>
      </c>
      <c r="E961" s="35">
        <f t="shared" si="98"/>
        <v>0.25</v>
      </c>
      <c r="F961" s="37">
        <f t="shared" si="99"/>
        <v>5326.7</v>
      </c>
      <c r="G961" s="37">
        <f t="shared" si="100"/>
        <v>1331.675</v>
      </c>
      <c r="H961" s="36" cm="1">
        <f t="array" ref="H961">SUMPRODUCT((C961&gt;tier_floor)*((C961-tier_floor)*step)*margin_rate)</f>
        <v>1331.675</v>
      </c>
      <c r="I961" s="37">
        <f t="shared" si="101"/>
        <v>0</v>
      </c>
      <c r="J961" s="38">
        <f t="shared" si="102"/>
        <v>2024</v>
      </c>
      <c r="K961" s="128">
        <f>(1+target)^($J961-(MIN(tbl_rep_mon[year])))</f>
        <v>1.5208749999999995</v>
      </c>
      <c r="L961" s="35">
        <f t="shared" si="103"/>
        <v>0.25</v>
      </c>
      <c r="M961" s="37">
        <f t="shared" si="104"/>
        <v>1331.675</v>
      </c>
    </row>
    <row r="962" spans="1:13" x14ac:dyDescent="0.4">
      <c r="A962" t="s">
        <v>6</v>
      </c>
      <c r="B962">
        <v>2</v>
      </c>
      <c r="C962" s="36">
        <v>70636.479999999996</v>
      </c>
      <c r="D962" s="1">
        <v>45658</v>
      </c>
      <c r="E962" s="35">
        <f t="shared" ref="E962:E1025" si="105">_xlfn.XLOOKUP(C962,tier_floor,tier_rate,,-1)</f>
        <v>0.42</v>
      </c>
      <c r="F962" s="37">
        <f t="shared" ref="F962:F1025" si="106">C962*margin_rate</f>
        <v>35318.239999999998</v>
      </c>
      <c r="G962" s="37">
        <f t="shared" ref="G962:G1025" si="107">F962*E962</f>
        <v>14833.660799999998</v>
      </c>
      <c r="H962" s="36" cm="1">
        <f t="array" ref="H962">SUMPRODUCT((C962&gt;tier_floor)*((C962-tier_floor)*step)*margin_rate)</f>
        <v>11583.660799999998</v>
      </c>
      <c r="I962" s="37">
        <f t="shared" ref="I962:I1025" si="108">G962-H962</f>
        <v>3250</v>
      </c>
      <c r="J962" s="38">
        <f t="shared" ref="J962:J1025" si="109">YEAR(D962)</f>
        <v>2025</v>
      </c>
      <c r="K962" s="128">
        <f>(1+target)^($J962-(MIN(tbl_rep_mon[year])))</f>
        <v>1.7490062499999994</v>
      </c>
      <c r="L962" s="35">
        <f t="shared" ref="L962:L1025" si="110">_xlfn.XLOOKUP(($C962/$K962),tier_floor,tier_rate,,-1)</f>
        <v>0.33</v>
      </c>
      <c r="M962" s="37">
        <f t="shared" ref="M962:M1025" si="111">$F962*$L962</f>
        <v>11655.019200000001</v>
      </c>
    </row>
    <row r="963" spans="1:13" x14ac:dyDescent="0.4">
      <c r="A963" t="s">
        <v>8</v>
      </c>
      <c r="B963">
        <v>4</v>
      </c>
      <c r="C963" s="36">
        <v>75557.67</v>
      </c>
      <c r="D963" s="1">
        <v>45658</v>
      </c>
      <c r="E963" s="35">
        <f t="shared" si="105"/>
        <v>0.51</v>
      </c>
      <c r="F963" s="37">
        <f t="shared" si="106"/>
        <v>37778.834999999999</v>
      </c>
      <c r="G963" s="37">
        <f t="shared" si="107"/>
        <v>19267.205849999998</v>
      </c>
      <c r="H963" s="36" cm="1">
        <f t="array" ref="H963">SUMPRODUCT((C963&gt;tier_floor)*((C963-tier_floor)*step)*margin_rate)</f>
        <v>12642.205849999998</v>
      </c>
      <c r="I963" s="37">
        <f t="shared" si="108"/>
        <v>6625</v>
      </c>
      <c r="J963" s="38">
        <f t="shared" si="109"/>
        <v>2025</v>
      </c>
      <c r="K963" s="128">
        <f>(1+target)^($J963-(MIN(tbl_rep_mon[year])))</f>
        <v>1.7490062499999994</v>
      </c>
      <c r="L963" s="35">
        <f t="shared" si="110"/>
        <v>0.33</v>
      </c>
      <c r="M963" s="37">
        <f t="shared" si="111"/>
        <v>12467.01555</v>
      </c>
    </row>
    <row r="964" spans="1:13" x14ac:dyDescent="0.4">
      <c r="A964" t="s">
        <v>15</v>
      </c>
      <c r="B964">
        <v>3</v>
      </c>
      <c r="C964" s="36">
        <v>84884.77</v>
      </c>
      <c r="D964" s="1">
        <v>45658</v>
      </c>
      <c r="E964" s="35">
        <f t="shared" si="105"/>
        <v>0.51</v>
      </c>
      <c r="F964" s="37">
        <f t="shared" si="106"/>
        <v>42442.385000000002</v>
      </c>
      <c r="G964" s="37">
        <f t="shared" si="107"/>
        <v>21645.61635</v>
      </c>
      <c r="H964" s="36" cm="1">
        <f t="array" ref="H964">SUMPRODUCT((C964&gt;tier_floor)*((C964-tier_floor)*step)*margin_rate)</f>
        <v>15020.616350000002</v>
      </c>
      <c r="I964" s="37">
        <f t="shared" si="108"/>
        <v>6624.9999999999982</v>
      </c>
      <c r="J964" s="38">
        <f t="shared" si="109"/>
        <v>2025</v>
      </c>
      <c r="K964" s="128">
        <f>(1+target)^($J964-(MIN(tbl_rep_mon[year])))</f>
        <v>1.7490062499999994</v>
      </c>
      <c r="L964" s="35">
        <f t="shared" si="110"/>
        <v>0.33</v>
      </c>
      <c r="M964" s="37">
        <f t="shared" si="111"/>
        <v>14005.987050000002</v>
      </c>
    </row>
    <row r="965" spans="1:13" x14ac:dyDescent="0.4">
      <c r="A965" t="s">
        <v>19</v>
      </c>
      <c r="B965">
        <v>4</v>
      </c>
      <c r="C965" s="36">
        <v>78305.19</v>
      </c>
      <c r="D965" s="1">
        <v>45658</v>
      </c>
      <c r="E965" s="35">
        <f t="shared" si="105"/>
        <v>0.51</v>
      </c>
      <c r="F965" s="37">
        <f t="shared" si="106"/>
        <v>39152.595000000001</v>
      </c>
      <c r="G965" s="37">
        <f t="shared" si="107"/>
        <v>19967.82345</v>
      </c>
      <c r="H965" s="36" cm="1">
        <f t="array" ref="H965">SUMPRODUCT((C965&gt;tier_floor)*((C965-tier_floor)*step)*margin_rate)</f>
        <v>13342.823450000002</v>
      </c>
      <c r="I965" s="37">
        <f t="shared" si="108"/>
        <v>6624.9999999999982</v>
      </c>
      <c r="J965" s="38">
        <f t="shared" si="109"/>
        <v>2025</v>
      </c>
      <c r="K965" s="128">
        <f>(1+target)^($J965-(MIN(tbl_rep_mon[year])))</f>
        <v>1.7490062499999994</v>
      </c>
      <c r="L965" s="35">
        <f t="shared" si="110"/>
        <v>0.33</v>
      </c>
      <c r="M965" s="37">
        <f t="shared" si="111"/>
        <v>12920.356350000002</v>
      </c>
    </row>
    <row r="966" spans="1:13" x14ac:dyDescent="0.4">
      <c r="A966" t="s">
        <v>23</v>
      </c>
      <c r="B966">
        <v>1</v>
      </c>
      <c r="C966" s="36">
        <v>102326.52</v>
      </c>
      <c r="D966" s="1">
        <v>45658</v>
      </c>
      <c r="E966" s="35">
        <f t="shared" si="105"/>
        <v>0.6</v>
      </c>
      <c r="F966" s="37">
        <f t="shared" si="106"/>
        <v>51163.26</v>
      </c>
      <c r="G966" s="37">
        <f t="shared" si="107"/>
        <v>30697.955999999998</v>
      </c>
      <c r="H966" s="36" cm="1">
        <f t="array" ref="H966">SUMPRODUCT((C966&gt;tier_floor)*((C966-tier_floor)*step)*margin_rate)</f>
        <v>19572.956000000002</v>
      </c>
      <c r="I966" s="37">
        <f t="shared" si="108"/>
        <v>11124.999999999996</v>
      </c>
      <c r="J966" s="38">
        <f t="shared" si="109"/>
        <v>2025</v>
      </c>
      <c r="K966" s="128">
        <f>(1+target)^($J966-(MIN(tbl_rep_mon[year])))</f>
        <v>1.7490062499999994</v>
      </c>
      <c r="L966" s="35">
        <f t="shared" si="110"/>
        <v>0.42</v>
      </c>
      <c r="M966" s="37">
        <f t="shared" si="111"/>
        <v>21488.569200000002</v>
      </c>
    </row>
    <row r="967" spans="1:13" x14ac:dyDescent="0.4">
      <c r="A967" t="s">
        <v>24</v>
      </c>
      <c r="B967">
        <v>3</v>
      </c>
      <c r="C967" s="36">
        <v>72968.039999999994</v>
      </c>
      <c r="D967" s="1">
        <v>45658</v>
      </c>
      <c r="E967" s="35">
        <f t="shared" si="105"/>
        <v>0.42</v>
      </c>
      <c r="F967" s="37">
        <f t="shared" si="106"/>
        <v>36484.019999999997</v>
      </c>
      <c r="G967" s="37">
        <f t="shared" si="107"/>
        <v>15323.288399999998</v>
      </c>
      <c r="H967" s="36" cm="1">
        <f t="array" ref="H967">SUMPRODUCT((C967&gt;tier_floor)*((C967-tier_floor)*step)*margin_rate)</f>
        <v>12073.288399999999</v>
      </c>
      <c r="I967" s="37">
        <f t="shared" si="108"/>
        <v>3249.9999999999982</v>
      </c>
      <c r="J967" s="38">
        <f t="shared" si="109"/>
        <v>2025</v>
      </c>
      <c r="K967" s="128">
        <f>(1+target)^($J967-(MIN(tbl_rep_mon[year])))</f>
        <v>1.7490062499999994</v>
      </c>
      <c r="L967" s="35">
        <f t="shared" si="110"/>
        <v>0.33</v>
      </c>
      <c r="M967" s="37">
        <f t="shared" si="111"/>
        <v>12039.7266</v>
      </c>
    </row>
    <row r="968" spans="1:13" x14ac:dyDescent="0.4">
      <c r="A968" t="s">
        <v>25</v>
      </c>
      <c r="B968">
        <v>2</v>
      </c>
      <c r="C968" s="36">
        <v>87437.52</v>
      </c>
      <c r="D968" s="1">
        <v>45658</v>
      </c>
      <c r="E968" s="35">
        <f t="shared" si="105"/>
        <v>0.51</v>
      </c>
      <c r="F968" s="37">
        <f t="shared" si="106"/>
        <v>43718.76</v>
      </c>
      <c r="G968" s="37">
        <f t="shared" si="107"/>
        <v>22296.567600000002</v>
      </c>
      <c r="H968" s="36" cm="1">
        <f t="array" ref="H968">SUMPRODUCT((C968&gt;tier_floor)*((C968-tier_floor)*step)*margin_rate)</f>
        <v>15671.5676</v>
      </c>
      <c r="I968" s="37">
        <f t="shared" si="108"/>
        <v>6625.0000000000018</v>
      </c>
      <c r="J968" s="38">
        <f t="shared" si="109"/>
        <v>2025</v>
      </c>
      <c r="K968" s="128">
        <f>(1+target)^($J968-(MIN(tbl_rep_mon[year])))</f>
        <v>1.7490062499999994</v>
      </c>
      <c r="L968" s="35">
        <f t="shared" si="110"/>
        <v>0.33</v>
      </c>
      <c r="M968" s="37">
        <f t="shared" si="111"/>
        <v>14427.190800000002</v>
      </c>
    </row>
    <row r="969" spans="1:13" x14ac:dyDescent="0.4">
      <c r="A969" t="s">
        <v>29</v>
      </c>
      <c r="B969">
        <v>1</v>
      </c>
      <c r="C969" s="36">
        <v>122709.62</v>
      </c>
      <c r="D969" s="1">
        <v>45658</v>
      </c>
      <c r="E969" s="35">
        <f t="shared" si="105"/>
        <v>0.6</v>
      </c>
      <c r="F969" s="37">
        <f t="shared" si="106"/>
        <v>61354.81</v>
      </c>
      <c r="G969" s="37">
        <f t="shared" si="107"/>
        <v>36812.885999999999</v>
      </c>
      <c r="H969" s="36" cm="1">
        <f t="array" ref="H969">SUMPRODUCT((C969&gt;tier_floor)*((C969-tier_floor)*step)*margin_rate)</f>
        <v>25687.885999999999</v>
      </c>
      <c r="I969" s="37">
        <f t="shared" si="108"/>
        <v>11125</v>
      </c>
      <c r="J969" s="38">
        <f t="shared" si="109"/>
        <v>2025</v>
      </c>
      <c r="K969" s="128">
        <f>(1+target)^($J969-(MIN(tbl_rep_mon[year])))</f>
        <v>1.7490062499999994</v>
      </c>
      <c r="L969" s="35">
        <f t="shared" si="110"/>
        <v>0.42</v>
      </c>
      <c r="M969" s="37">
        <f t="shared" si="111"/>
        <v>25769.020199999999</v>
      </c>
    </row>
    <row r="970" spans="1:13" x14ac:dyDescent="0.4">
      <c r="A970" t="s">
        <v>32</v>
      </c>
      <c r="B970">
        <v>4</v>
      </c>
      <c r="C970" s="36">
        <v>92167.53</v>
      </c>
      <c r="D970" s="1">
        <v>45658</v>
      </c>
      <c r="E970" s="35">
        <f t="shared" si="105"/>
        <v>0.51</v>
      </c>
      <c r="F970" s="37">
        <f t="shared" si="106"/>
        <v>46083.764999999999</v>
      </c>
      <c r="G970" s="37">
        <f t="shared" si="107"/>
        <v>23502.720150000001</v>
      </c>
      <c r="H970" s="36" cm="1">
        <f t="array" ref="H970">SUMPRODUCT((C970&gt;tier_floor)*((C970-tier_floor)*step)*margin_rate)</f>
        <v>16877.720149999997</v>
      </c>
      <c r="I970" s="37">
        <f t="shared" si="108"/>
        <v>6625.0000000000036</v>
      </c>
      <c r="J970" s="38">
        <f t="shared" si="109"/>
        <v>2025</v>
      </c>
      <c r="K970" s="128">
        <f>(1+target)^($J970-(MIN(tbl_rep_mon[year])))</f>
        <v>1.7490062499999994</v>
      </c>
      <c r="L970" s="35">
        <f t="shared" si="110"/>
        <v>0.42</v>
      </c>
      <c r="M970" s="37">
        <f t="shared" si="111"/>
        <v>19355.1813</v>
      </c>
    </row>
    <row r="971" spans="1:13" x14ac:dyDescent="0.4">
      <c r="A971" t="s">
        <v>33</v>
      </c>
      <c r="B971">
        <v>3</v>
      </c>
      <c r="C971" s="36">
        <v>66004.44</v>
      </c>
      <c r="D971" s="1">
        <v>45658</v>
      </c>
      <c r="E971" s="35">
        <f t="shared" si="105"/>
        <v>0.42</v>
      </c>
      <c r="F971" s="37">
        <f t="shared" si="106"/>
        <v>33002.22</v>
      </c>
      <c r="G971" s="37">
        <f t="shared" si="107"/>
        <v>13860.9324</v>
      </c>
      <c r="H971" s="36" cm="1">
        <f t="array" ref="H971">SUMPRODUCT((C971&gt;tier_floor)*((C971-tier_floor)*step)*margin_rate)</f>
        <v>10610.932400000002</v>
      </c>
      <c r="I971" s="37">
        <f t="shared" si="108"/>
        <v>3249.9999999999982</v>
      </c>
      <c r="J971" s="38">
        <f t="shared" si="109"/>
        <v>2025</v>
      </c>
      <c r="K971" s="128">
        <f>(1+target)^($J971-(MIN(tbl_rep_mon[year])))</f>
        <v>1.7490062499999994</v>
      </c>
      <c r="L971" s="35">
        <f t="shared" si="110"/>
        <v>0.33</v>
      </c>
      <c r="M971" s="37">
        <f t="shared" si="111"/>
        <v>10890.732600000001</v>
      </c>
    </row>
    <row r="972" spans="1:13" x14ac:dyDescent="0.4">
      <c r="A972" t="s">
        <v>34</v>
      </c>
      <c r="B972">
        <v>4</v>
      </c>
      <c r="C972" s="36">
        <v>91277.28</v>
      </c>
      <c r="D972" s="1">
        <v>45658</v>
      </c>
      <c r="E972" s="35">
        <f t="shared" si="105"/>
        <v>0.51</v>
      </c>
      <c r="F972" s="37">
        <f t="shared" si="106"/>
        <v>45638.64</v>
      </c>
      <c r="G972" s="37">
        <f t="shared" si="107"/>
        <v>23275.706399999999</v>
      </c>
      <c r="H972" s="36" cm="1">
        <f t="array" ref="H972">SUMPRODUCT((C972&gt;tier_floor)*((C972-tier_floor)*step)*margin_rate)</f>
        <v>16650.706400000003</v>
      </c>
      <c r="I972" s="37">
        <f t="shared" si="108"/>
        <v>6624.9999999999964</v>
      </c>
      <c r="J972" s="38">
        <f t="shared" si="109"/>
        <v>2025</v>
      </c>
      <c r="K972" s="128">
        <f>(1+target)^($J972-(MIN(tbl_rep_mon[year])))</f>
        <v>1.7490062499999994</v>
      </c>
      <c r="L972" s="35">
        <f t="shared" si="110"/>
        <v>0.42</v>
      </c>
      <c r="M972" s="37">
        <f t="shared" si="111"/>
        <v>19168.228800000001</v>
      </c>
    </row>
    <row r="973" spans="1:13" x14ac:dyDescent="0.4">
      <c r="A973" t="s">
        <v>35</v>
      </c>
      <c r="B973">
        <v>4</v>
      </c>
      <c r="C973" s="36">
        <v>66310.63</v>
      </c>
      <c r="D973" s="1">
        <v>45658</v>
      </c>
      <c r="E973" s="35">
        <f t="shared" si="105"/>
        <v>0.42</v>
      </c>
      <c r="F973" s="37">
        <f t="shared" si="106"/>
        <v>33155.315000000002</v>
      </c>
      <c r="G973" s="37">
        <f t="shared" si="107"/>
        <v>13925.2323</v>
      </c>
      <c r="H973" s="36" cm="1">
        <f t="array" ref="H973">SUMPRODUCT((C973&gt;tier_floor)*((C973-tier_floor)*step)*margin_rate)</f>
        <v>10675.232300000001</v>
      </c>
      <c r="I973" s="37">
        <f t="shared" si="108"/>
        <v>3249.9999999999982</v>
      </c>
      <c r="J973" s="38">
        <f t="shared" si="109"/>
        <v>2025</v>
      </c>
      <c r="K973" s="128">
        <f>(1+target)^($J973-(MIN(tbl_rep_mon[year])))</f>
        <v>1.7490062499999994</v>
      </c>
      <c r="L973" s="35">
        <f t="shared" si="110"/>
        <v>0.33</v>
      </c>
      <c r="M973" s="37">
        <f t="shared" si="111"/>
        <v>10941.253950000002</v>
      </c>
    </row>
    <row r="974" spans="1:13" x14ac:dyDescent="0.4">
      <c r="A974" t="s">
        <v>37</v>
      </c>
      <c r="B974">
        <v>4</v>
      </c>
      <c r="C974" s="36">
        <v>82040.509999999995</v>
      </c>
      <c r="D974" s="1">
        <v>45658</v>
      </c>
      <c r="E974" s="35">
        <f t="shared" si="105"/>
        <v>0.51</v>
      </c>
      <c r="F974" s="37">
        <f t="shared" si="106"/>
        <v>41020.254999999997</v>
      </c>
      <c r="G974" s="37">
        <f t="shared" si="107"/>
        <v>20920.33005</v>
      </c>
      <c r="H974" s="36" cm="1">
        <f t="array" ref="H974">SUMPRODUCT((C974&gt;tier_floor)*((C974-tier_floor)*step)*margin_rate)</f>
        <v>14295.330049999999</v>
      </c>
      <c r="I974" s="37">
        <f t="shared" si="108"/>
        <v>6625.0000000000018</v>
      </c>
      <c r="J974" s="38">
        <f t="shared" si="109"/>
        <v>2025</v>
      </c>
      <c r="K974" s="128">
        <f>(1+target)^($J974-(MIN(tbl_rep_mon[year])))</f>
        <v>1.7490062499999994</v>
      </c>
      <c r="L974" s="35">
        <f t="shared" si="110"/>
        <v>0.33</v>
      </c>
      <c r="M974" s="37">
        <f t="shared" si="111"/>
        <v>13536.684149999999</v>
      </c>
    </row>
    <row r="975" spans="1:13" x14ac:dyDescent="0.4">
      <c r="A975" t="s">
        <v>38</v>
      </c>
      <c r="B975">
        <v>2</v>
      </c>
      <c r="C975" s="36">
        <v>113564.03</v>
      </c>
      <c r="D975" s="1">
        <v>45658</v>
      </c>
      <c r="E975" s="35">
        <f t="shared" si="105"/>
        <v>0.6</v>
      </c>
      <c r="F975" s="37">
        <f t="shared" si="106"/>
        <v>56782.014999999999</v>
      </c>
      <c r="G975" s="37">
        <f t="shared" si="107"/>
        <v>34069.208999999995</v>
      </c>
      <c r="H975" s="36" cm="1">
        <f t="array" ref="H975">SUMPRODUCT((C975&gt;tier_floor)*((C975-tier_floor)*step)*margin_rate)</f>
        <v>22944.208999999999</v>
      </c>
      <c r="I975" s="37">
        <f t="shared" si="108"/>
        <v>11124.999999999996</v>
      </c>
      <c r="J975" s="38">
        <f t="shared" si="109"/>
        <v>2025</v>
      </c>
      <c r="K975" s="128">
        <f>(1+target)^($J975-(MIN(tbl_rep_mon[year])))</f>
        <v>1.7490062499999994</v>
      </c>
      <c r="L975" s="35">
        <f t="shared" si="110"/>
        <v>0.42</v>
      </c>
      <c r="M975" s="37">
        <f t="shared" si="111"/>
        <v>23848.4463</v>
      </c>
    </row>
    <row r="976" spans="1:13" x14ac:dyDescent="0.4">
      <c r="A976" t="s">
        <v>39</v>
      </c>
      <c r="B976">
        <v>2</v>
      </c>
      <c r="C976" s="36">
        <v>78219.16</v>
      </c>
      <c r="D976" s="1">
        <v>45658</v>
      </c>
      <c r="E976" s="35">
        <f t="shared" si="105"/>
        <v>0.51</v>
      </c>
      <c r="F976" s="37">
        <f t="shared" si="106"/>
        <v>39109.58</v>
      </c>
      <c r="G976" s="37">
        <f t="shared" si="107"/>
        <v>19945.8858</v>
      </c>
      <c r="H976" s="36" cm="1">
        <f t="array" ref="H976">SUMPRODUCT((C976&gt;tier_floor)*((C976-tier_floor)*step)*margin_rate)</f>
        <v>13320.8858</v>
      </c>
      <c r="I976" s="37">
        <f t="shared" si="108"/>
        <v>6625</v>
      </c>
      <c r="J976" s="38">
        <f t="shared" si="109"/>
        <v>2025</v>
      </c>
      <c r="K976" s="128">
        <f>(1+target)^($J976-(MIN(tbl_rep_mon[year])))</f>
        <v>1.7490062499999994</v>
      </c>
      <c r="L976" s="35">
        <f t="shared" si="110"/>
        <v>0.33</v>
      </c>
      <c r="M976" s="37">
        <f t="shared" si="111"/>
        <v>12906.161400000001</v>
      </c>
    </row>
    <row r="977" spans="1:13" x14ac:dyDescent="0.4">
      <c r="A977" t="s">
        <v>40</v>
      </c>
      <c r="B977">
        <v>4</v>
      </c>
      <c r="C977" s="36">
        <v>57612.56</v>
      </c>
      <c r="D977" s="1">
        <v>45658</v>
      </c>
      <c r="E977" s="35">
        <f t="shared" si="105"/>
        <v>0.42</v>
      </c>
      <c r="F977" s="37">
        <f t="shared" si="106"/>
        <v>28806.28</v>
      </c>
      <c r="G977" s="37">
        <f t="shared" si="107"/>
        <v>12098.637599999998</v>
      </c>
      <c r="H977" s="36" cm="1">
        <f t="array" ref="H977">SUMPRODUCT((C977&gt;tier_floor)*((C977-tier_floor)*step)*margin_rate)</f>
        <v>8848.6375999999982</v>
      </c>
      <c r="I977" s="37">
        <f t="shared" si="108"/>
        <v>3250</v>
      </c>
      <c r="J977" s="38">
        <f t="shared" si="109"/>
        <v>2025</v>
      </c>
      <c r="K977" s="128">
        <f>(1+target)^($J977-(MIN(tbl_rep_mon[year])))</f>
        <v>1.7490062499999994</v>
      </c>
      <c r="L977" s="35">
        <f t="shared" si="110"/>
        <v>0.33</v>
      </c>
      <c r="M977" s="37">
        <f t="shared" si="111"/>
        <v>9506.0724000000009</v>
      </c>
    </row>
    <row r="978" spans="1:13" x14ac:dyDescent="0.4">
      <c r="A978" t="s">
        <v>41</v>
      </c>
      <c r="B978">
        <v>2</v>
      </c>
      <c r="C978" s="36">
        <v>107935.35</v>
      </c>
      <c r="D978" s="1">
        <v>45658</v>
      </c>
      <c r="E978" s="35">
        <f t="shared" si="105"/>
        <v>0.6</v>
      </c>
      <c r="F978" s="37">
        <f t="shared" si="106"/>
        <v>53967.675000000003</v>
      </c>
      <c r="G978" s="37">
        <f t="shared" si="107"/>
        <v>32380.605</v>
      </c>
      <c r="H978" s="36" cm="1">
        <f t="array" ref="H978">SUMPRODUCT((C978&gt;tier_floor)*((C978-tier_floor)*step)*margin_rate)</f>
        <v>21255.605</v>
      </c>
      <c r="I978" s="37">
        <f t="shared" si="108"/>
        <v>11125</v>
      </c>
      <c r="J978" s="38">
        <f t="shared" si="109"/>
        <v>2025</v>
      </c>
      <c r="K978" s="128">
        <f>(1+target)^($J978-(MIN(tbl_rep_mon[year])))</f>
        <v>1.7490062499999994</v>
      </c>
      <c r="L978" s="35">
        <f t="shared" si="110"/>
        <v>0.42</v>
      </c>
      <c r="M978" s="37">
        <f t="shared" si="111"/>
        <v>22666.423500000001</v>
      </c>
    </row>
    <row r="979" spans="1:13" x14ac:dyDescent="0.4">
      <c r="A979" t="s">
        <v>43</v>
      </c>
      <c r="B979">
        <v>4</v>
      </c>
      <c r="C979" s="36">
        <v>96594.02</v>
      </c>
      <c r="D979" s="1">
        <v>45658</v>
      </c>
      <c r="E979" s="35">
        <f t="shared" si="105"/>
        <v>0.51</v>
      </c>
      <c r="F979" s="37">
        <f t="shared" si="106"/>
        <v>48297.01</v>
      </c>
      <c r="G979" s="37">
        <f t="shared" si="107"/>
        <v>24631.4751</v>
      </c>
      <c r="H979" s="36" cm="1">
        <f t="array" ref="H979">SUMPRODUCT((C979&gt;tier_floor)*((C979-tier_floor)*step)*margin_rate)</f>
        <v>18006.475100000003</v>
      </c>
      <c r="I979" s="37">
        <f t="shared" si="108"/>
        <v>6624.9999999999964</v>
      </c>
      <c r="J979" s="38">
        <f t="shared" si="109"/>
        <v>2025</v>
      </c>
      <c r="K979" s="128">
        <f>(1+target)^($J979-(MIN(tbl_rep_mon[year])))</f>
        <v>1.7490062499999994</v>
      </c>
      <c r="L979" s="35">
        <f t="shared" si="110"/>
        <v>0.42</v>
      </c>
      <c r="M979" s="37">
        <f t="shared" si="111"/>
        <v>20284.744200000001</v>
      </c>
    </row>
    <row r="980" spans="1:13" x14ac:dyDescent="0.4">
      <c r="A980" t="s">
        <v>44</v>
      </c>
      <c r="B980">
        <v>3</v>
      </c>
      <c r="C980" s="36">
        <v>71087.73</v>
      </c>
      <c r="D980" s="1">
        <v>45658</v>
      </c>
      <c r="E980" s="35">
        <f t="shared" si="105"/>
        <v>0.42</v>
      </c>
      <c r="F980" s="37">
        <f t="shared" si="106"/>
        <v>35543.864999999998</v>
      </c>
      <c r="G980" s="37">
        <f t="shared" si="107"/>
        <v>14928.423299999999</v>
      </c>
      <c r="H980" s="36" cm="1">
        <f t="array" ref="H980">SUMPRODUCT((C980&gt;tier_floor)*((C980-tier_floor)*step)*margin_rate)</f>
        <v>11678.423299999999</v>
      </c>
      <c r="I980" s="37">
        <f t="shared" si="108"/>
        <v>3250</v>
      </c>
      <c r="J980" s="38">
        <f t="shared" si="109"/>
        <v>2025</v>
      </c>
      <c r="K980" s="128">
        <f>(1+target)^($J980-(MIN(tbl_rep_mon[year])))</f>
        <v>1.7490062499999994</v>
      </c>
      <c r="L980" s="35">
        <f t="shared" si="110"/>
        <v>0.33</v>
      </c>
      <c r="M980" s="37">
        <f t="shared" si="111"/>
        <v>11729.47545</v>
      </c>
    </row>
    <row r="981" spans="1:13" x14ac:dyDescent="0.4">
      <c r="A981" t="s">
        <v>45</v>
      </c>
      <c r="B981">
        <v>3</v>
      </c>
      <c r="C981" s="36">
        <v>83389.98</v>
      </c>
      <c r="D981" s="1">
        <v>45658</v>
      </c>
      <c r="E981" s="35">
        <f t="shared" si="105"/>
        <v>0.51</v>
      </c>
      <c r="F981" s="37">
        <f t="shared" si="106"/>
        <v>41694.99</v>
      </c>
      <c r="G981" s="37">
        <f t="shared" si="107"/>
        <v>21264.444899999999</v>
      </c>
      <c r="H981" s="36" cm="1">
        <f t="array" ref="H981">SUMPRODUCT((C981&gt;tier_floor)*((C981-tier_floor)*step)*margin_rate)</f>
        <v>14639.444899999999</v>
      </c>
      <c r="I981" s="37">
        <f t="shared" si="108"/>
        <v>6625</v>
      </c>
      <c r="J981" s="38">
        <f t="shared" si="109"/>
        <v>2025</v>
      </c>
      <c r="K981" s="128">
        <f>(1+target)^($J981-(MIN(tbl_rep_mon[year])))</f>
        <v>1.7490062499999994</v>
      </c>
      <c r="L981" s="35">
        <f t="shared" si="110"/>
        <v>0.33</v>
      </c>
      <c r="M981" s="37">
        <f t="shared" si="111"/>
        <v>13759.3467</v>
      </c>
    </row>
    <row r="982" spans="1:13" x14ac:dyDescent="0.4">
      <c r="A982" t="s">
        <v>6</v>
      </c>
      <c r="B982">
        <v>2</v>
      </c>
      <c r="C982" s="36">
        <v>77494.38</v>
      </c>
      <c r="D982" s="1">
        <v>45689</v>
      </c>
      <c r="E982" s="35">
        <f t="shared" si="105"/>
        <v>0.51</v>
      </c>
      <c r="F982" s="37">
        <f t="shared" si="106"/>
        <v>38747.19</v>
      </c>
      <c r="G982" s="37">
        <f t="shared" si="107"/>
        <v>19761.066900000002</v>
      </c>
      <c r="H982" s="36" cm="1">
        <f t="array" ref="H982">SUMPRODUCT((C982&gt;tier_floor)*((C982-tier_floor)*step)*margin_rate)</f>
        <v>13136.066900000002</v>
      </c>
      <c r="I982" s="37">
        <f t="shared" si="108"/>
        <v>6625</v>
      </c>
      <c r="J982" s="38">
        <f t="shared" si="109"/>
        <v>2025</v>
      </c>
      <c r="K982" s="128">
        <f>(1+target)^($J982-(MIN(tbl_rep_mon[year])))</f>
        <v>1.7490062499999994</v>
      </c>
      <c r="L982" s="35">
        <f t="shared" si="110"/>
        <v>0.33</v>
      </c>
      <c r="M982" s="37">
        <f t="shared" si="111"/>
        <v>12786.572700000001</v>
      </c>
    </row>
    <row r="983" spans="1:13" x14ac:dyDescent="0.4">
      <c r="A983" t="s">
        <v>15</v>
      </c>
      <c r="B983">
        <v>3</v>
      </c>
      <c r="C983" s="36">
        <v>96926.19</v>
      </c>
      <c r="D983" s="1">
        <v>45689</v>
      </c>
      <c r="E983" s="35">
        <f t="shared" si="105"/>
        <v>0.51</v>
      </c>
      <c r="F983" s="37">
        <f t="shared" si="106"/>
        <v>48463.095000000001</v>
      </c>
      <c r="G983" s="37">
        <f t="shared" si="107"/>
        <v>24716.178449999999</v>
      </c>
      <c r="H983" s="36" cm="1">
        <f t="array" ref="H983">SUMPRODUCT((C983&gt;tier_floor)*((C983-tier_floor)*step)*margin_rate)</f>
        <v>18091.178450000003</v>
      </c>
      <c r="I983" s="37">
        <f t="shared" si="108"/>
        <v>6624.9999999999964</v>
      </c>
      <c r="J983" s="38">
        <f t="shared" si="109"/>
        <v>2025</v>
      </c>
      <c r="K983" s="128">
        <f>(1+target)^($J983-(MIN(tbl_rep_mon[year])))</f>
        <v>1.7490062499999994</v>
      </c>
      <c r="L983" s="35">
        <f t="shared" si="110"/>
        <v>0.42</v>
      </c>
      <c r="M983" s="37">
        <f t="shared" si="111"/>
        <v>20354.499899999999</v>
      </c>
    </row>
    <row r="984" spans="1:13" x14ac:dyDescent="0.4">
      <c r="A984" t="s">
        <v>19</v>
      </c>
      <c r="B984">
        <v>4</v>
      </c>
      <c r="C984" s="36">
        <v>86201.66</v>
      </c>
      <c r="D984" s="1">
        <v>45689</v>
      </c>
      <c r="E984" s="35">
        <f t="shared" si="105"/>
        <v>0.51</v>
      </c>
      <c r="F984" s="37">
        <f t="shared" si="106"/>
        <v>43100.83</v>
      </c>
      <c r="G984" s="37">
        <f t="shared" si="107"/>
        <v>21981.423300000002</v>
      </c>
      <c r="H984" s="36" cm="1">
        <f t="array" ref="H984">SUMPRODUCT((C984&gt;tier_floor)*((C984-tier_floor)*step)*margin_rate)</f>
        <v>15356.4233</v>
      </c>
      <c r="I984" s="37">
        <f t="shared" si="108"/>
        <v>6625.0000000000018</v>
      </c>
      <c r="J984" s="38">
        <f t="shared" si="109"/>
        <v>2025</v>
      </c>
      <c r="K984" s="128">
        <f>(1+target)^($J984-(MIN(tbl_rep_mon[year])))</f>
        <v>1.7490062499999994</v>
      </c>
      <c r="L984" s="35">
        <f t="shared" si="110"/>
        <v>0.33</v>
      </c>
      <c r="M984" s="37">
        <f t="shared" si="111"/>
        <v>14223.273900000002</v>
      </c>
    </row>
    <row r="985" spans="1:13" x14ac:dyDescent="0.4">
      <c r="A985" t="s">
        <v>23</v>
      </c>
      <c r="B985">
        <v>1</v>
      </c>
      <c r="C985" s="36">
        <v>126132.81</v>
      </c>
      <c r="D985" s="1">
        <v>45689</v>
      </c>
      <c r="E985" s="35">
        <f t="shared" si="105"/>
        <v>0.6</v>
      </c>
      <c r="F985" s="37">
        <f t="shared" si="106"/>
        <v>63066.404999999999</v>
      </c>
      <c r="G985" s="37">
        <f t="shared" si="107"/>
        <v>37839.843000000001</v>
      </c>
      <c r="H985" s="36" cm="1">
        <f t="array" ref="H985">SUMPRODUCT((C985&gt;tier_floor)*((C985-tier_floor)*step)*margin_rate)</f>
        <v>26714.843000000001</v>
      </c>
      <c r="I985" s="37">
        <f t="shared" si="108"/>
        <v>11125</v>
      </c>
      <c r="J985" s="38">
        <f t="shared" si="109"/>
        <v>2025</v>
      </c>
      <c r="K985" s="128">
        <f>(1+target)^($J985-(MIN(tbl_rep_mon[year])))</f>
        <v>1.7490062499999994</v>
      </c>
      <c r="L985" s="35">
        <f t="shared" si="110"/>
        <v>0.42</v>
      </c>
      <c r="M985" s="37">
        <f t="shared" si="111"/>
        <v>26487.890099999997</v>
      </c>
    </row>
    <row r="986" spans="1:13" x14ac:dyDescent="0.4">
      <c r="A986" t="s">
        <v>24</v>
      </c>
      <c r="B986">
        <v>3</v>
      </c>
      <c r="C986" s="36">
        <v>74115.360000000001</v>
      </c>
      <c r="D986" s="1">
        <v>45689</v>
      </c>
      <c r="E986" s="35">
        <f t="shared" si="105"/>
        <v>0.42</v>
      </c>
      <c r="F986" s="37">
        <f t="shared" si="106"/>
        <v>37057.68</v>
      </c>
      <c r="G986" s="37">
        <f t="shared" si="107"/>
        <v>15564.2256</v>
      </c>
      <c r="H986" s="36" cm="1">
        <f t="array" ref="H986">SUMPRODUCT((C986&gt;tier_floor)*((C986-tier_floor)*step)*margin_rate)</f>
        <v>12314.2256</v>
      </c>
      <c r="I986" s="37">
        <f t="shared" si="108"/>
        <v>3250</v>
      </c>
      <c r="J986" s="38">
        <f t="shared" si="109"/>
        <v>2025</v>
      </c>
      <c r="K986" s="128">
        <f>(1+target)^($J986-(MIN(tbl_rep_mon[year])))</f>
        <v>1.7490062499999994</v>
      </c>
      <c r="L986" s="35">
        <f t="shared" si="110"/>
        <v>0.33</v>
      </c>
      <c r="M986" s="37">
        <f t="shared" si="111"/>
        <v>12229.0344</v>
      </c>
    </row>
    <row r="987" spans="1:13" x14ac:dyDescent="0.4">
      <c r="A987" t="s">
        <v>25</v>
      </c>
      <c r="B987">
        <v>2</v>
      </c>
      <c r="C987" s="36">
        <v>57069.57</v>
      </c>
      <c r="D987" s="1">
        <v>45689</v>
      </c>
      <c r="E987" s="35">
        <f t="shared" si="105"/>
        <v>0.42</v>
      </c>
      <c r="F987" s="37">
        <f t="shared" si="106"/>
        <v>28534.785</v>
      </c>
      <c r="G987" s="37">
        <f t="shared" si="107"/>
        <v>11984.609699999999</v>
      </c>
      <c r="H987" s="36" cm="1">
        <f t="array" ref="H987">SUMPRODUCT((C987&gt;tier_floor)*((C987-tier_floor)*step)*margin_rate)</f>
        <v>8734.6096999999991</v>
      </c>
      <c r="I987" s="37">
        <f t="shared" si="108"/>
        <v>3250</v>
      </c>
      <c r="J987" s="38">
        <f t="shared" si="109"/>
        <v>2025</v>
      </c>
      <c r="K987" s="128">
        <f>(1+target)^($J987-(MIN(tbl_rep_mon[year])))</f>
        <v>1.7490062499999994</v>
      </c>
      <c r="L987" s="35">
        <f t="shared" si="110"/>
        <v>0.33</v>
      </c>
      <c r="M987" s="37">
        <f t="shared" si="111"/>
        <v>9416.4790499999999</v>
      </c>
    </row>
    <row r="988" spans="1:13" x14ac:dyDescent="0.4">
      <c r="A988" t="s">
        <v>29</v>
      </c>
      <c r="B988">
        <v>1</v>
      </c>
      <c r="C988" s="36">
        <v>145176.66</v>
      </c>
      <c r="D988" s="1">
        <v>45689</v>
      </c>
      <c r="E988" s="35">
        <f t="shared" si="105"/>
        <v>0.6</v>
      </c>
      <c r="F988" s="37">
        <f t="shared" si="106"/>
        <v>72588.33</v>
      </c>
      <c r="G988" s="37">
        <f t="shared" si="107"/>
        <v>43552.998</v>
      </c>
      <c r="H988" s="36" cm="1">
        <f t="array" ref="H988">SUMPRODUCT((C988&gt;tier_floor)*((C988-tier_floor)*step)*margin_rate)</f>
        <v>32427.998</v>
      </c>
      <c r="I988" s="37">
        <f t="shared" si="108"/>
        <v>11125</v>
      </c>
      <c r="J988" s="38">
        <f t="shared" si="109"/>
        <v>2025</v>
      </c>
      <c r="K988" s="128">
        <f>(1+target)^($J988-(MIN(tbl_rep_mon[year])))</f>
        <v>1.7490062499999994</v>
      </c>
      <c r="L988" s="35">
        <f t="shared" si="110"/>
        <v>0.51</v>
      </c>
      <c r="M988" s="37">
        <f t="shared" si="111"/>
        <v>37020.048300000002</v>
      </c>
    </row>
    <row r="989" spans="1:13" x14ac:dyDescent="0.4">
      <c r="A989" t="s">
        <v>32</v>
      </c>
      <c r="B989">
        <v>4</v>
      </c>
      <c r="C989" s="36">
        <v>77514.31</v>
      </c>
      <c r="D989" s="1">
        <v>45689</v>
      </c>
      <c r="E989" s="35">
        <f t="shared" si="105"/>
        <v>0.51</v>
      </c>
      <c r="F989" s="37">
        <f t="shared" si="106"/>
        <v>38757.154999999999</v>
      </c>
      <c r="G989" s="37">
        <f t="shared" si="107"/>
        <v>19766.14905</v>
      </c>
      <c r="H989" s="36" cm="1">
        <f t="array" ref="H989">SUMPRODUCT((C989&gt;tier_floor)*((C989-tier_floor)*step)*margin_rate)</f>
        <v>13141.14905</v>
      </c>
      <c r="I989" s="37">
        <f t="shared" si="108"/>
        <v>6625</v>
      </c>
      <c r="J989" s="38">
        <f t="shared" si="109"/>
        <v>2025</v>
      </c>
      <c r="K989" s="128">
        <f>(1+target)^($J989-(MIN(tbl_rep_mon[year])))</f>
        <v>1.7490062499999994</v>
      </c>
      <c r="L989" s="35">
        <f t="shared" si="110"/>
        <v>0.33</v>
      </c>
      <c r="M989" s="37">
        <f t="shared" si="111"/>
        <v>12789.861150000001</v>
      </c>
    </row>
    <row r="990" spans="1:13" x14ac:dyDescent="0.4">
      <c r="A990" t="s">
        <v>33</v>
      </c>
      <c r="B990">
        <v>3</v>
      </c>
      <c r="C990" s="36">
        <v>64099.43</v>
      </c>
      <c r="D990" s="1">
        <v>45689</v>
      </c>
      <c r="E990" s="35">
        <f t="shared" si="105"/>
        <v>0.42</v>
      </c>
      <c r="F990" s="37">
        <f t="shared" si="106"/>
        <v>32049.715</v>
      </c>
      <c r="G990" s="37">
        <f t="shared" si="107"/>
        <v>13460.880299999999</v>
      </c>
      <c r="H990" s="36" cm="1">
        <f t="array" ref="H990">SUMPRODUCT((C990&gt;tier_floor)*((C990-tier_floor)*step)*margin_rate)</f>
        <v>10210.880300000001</v>
      </c>
      <c r="I990" s="37">
        <f t="shared" si="108"/>
        <v>3249.9999999999982</v>
      </c>
      <c r="J990" s="38">
        <f t="shared" si="109"/>
        <v>2025</v>
      </c>
      <c r="K990" s="128">
        <f>(1+target)^($J990-(MIN(tbl_rep_mon[year])))</f>
        <v>1.7490062499999994</v>
      </c>
      <c r="L990" s="35">
        <f t="shared" si="110"/>
        <v>0.33</v>
      </c>
      <c r="M990" s="37">
        <f t="shared" si="111"/>
        <v>10576.40595</v>
      </c>
    </row>
    <row r="991" spans="1:13" x14ac:dyDescent="0.4">
      <c r="A991" t="s">
        <v>34</v>
      </c>
      <c r="B991">
        <v>4</v>
      </c>
      <c r="C991" s="36">
        <v>58184.67</v>
      </c>
      <c r="D991" s="1">
        <v>45689</v>
      </c>
      <c r="E991" s="35">
        <f t="shared" si="105"/>
        <v>0.42</v>
      </c>
      <c r="F991" s="37">
        <f t="shared" si="106"/>
        <v>29092.334999999999</v>
      </c>
      <c r="G991" s="37">
        <f t="shared" si="107"/>
        <v>12218.780699999999</v>
      </c>
      <c r="H991" s="36" cm="1">
        <f t="array" ref="H991">SUMPRODUCT((C991&gt;tier_floor)*((C991-tier_floor)*step)*margin_rate)</f>
        <v>8968.7806999999993</v>
      </c>
      <c r="I991" s="37">
        <f t="shared" si="108"/>
        <v>3250</v>
      </c>
      <c r="J991" s="38">
        <f t="shared" si="109"/>
        <v>2025</v>
      </c>
      <c r="K991" s="128">
        <f>(1+target)^($J991-(MIN(tbl_rep_mon[year])))</f>
        <v>1.7490062499999994</v>
      </c>
      <c r="L991" s="35">
        <f t="shared" si="110"/>
        <v>0.33</v>
      </c>
      <c r="M991" s="37">
        <f t="shared" si="111"/>
        <v>9600.47055</v>
      </c>
    </row>
    <row r="992" spans="1:13" x14ac:dyDescent="0.4">
      <c r="A992" t="s">
        <v>35</v>
      </c>
      <c r="B992">
        <v>4</v>
      </c>
      <c r="C992" s="36">
        <v>77375.34</v>
      </c>
      <c r="D992" s="1">
        <v>45689</v>
      </c>
      <c r="E992" s="35">
        <f t="shared" si="105"/>
        <v>0.51</v>
      </c>
      <c r="F992" s="37">
        <f t="shared" si="106"/>
        <v>38687.67</v>
      </c>
      <c r="G992" s="37">
        <f t="shared" si="107"/>
        <v>19730.7117</v>
      </c>
      <c r="H992" s="36" cm="1">
        <f t="array" ref="H992">SUMPRODUCT((C992&gt;tier_floor)*((C992-tier_floor)*step)*margin_rate)</f>
        <v>13105.711699999998</v>
      </c>
      <c r="I992" s="37">
        <f t="shared" si="108"/>
        <v>6625.0000000000018</v>
      </c>
      <c r="J992" s="38">
        <f t="shared" si="109"/>
        <v>2025</v>
      </c>
      <c r="K992" s="128">
        <f>(1+target)^($J992-(MIN(tbl_rep_mon[year])))</f>
        <v>1.7490062499999994</v>
      </c>
      <c r="L992" s="35">
        <f t="shared" si="110"/>
        <v>0.33</v>
      </c>
      <c r="M992" s="37">
        <f t="shared" si="111"/>
        <v>12766.9311</v>
      </c>
    </row>
    <row r="993" spans="1:13" x14ac:dyDescent="0.4">
      <c r="A993" t="s">
        <v>37</v>
      </c>
      <c r="B993">
        <v>4</v>
      </c>
      <c r="C993" s="36">
        <v>54746.84</v>
      </c>
      <c r="D993" s="1">
        <v>45689</v>
      </c>
      <c r="E993" s="35">
        <f t="shared" si="105"/>
        <v>0.42</v>
      </c>
      <c r="F993" s="37">
        <f t="shared" si="106"/>
        <v>27373.42</v>
      </c>
      <c r="G993" s="37">
        <f t="shared" si="107"/>
        <v>11496.836399999998</v>
      </c>
      <c r="H993" s="36" cm="1">
        <f t="array" ref="H993">SUMPRODUCT((C993&gt;tier_floor)*((C993-tier_floor)*step)*margin_rate)</f>
        <v>8246.8364000000001</v>
      </c>
      <c r="I993" s="37">
        <f t="shared" si="108"/>
        <v>3249.9999999999982</v>
      </c>
      <c r="J993" s="38">
        <f t="shared" si="109"/>
        <v>2025</v>
      </c>
      <c r="K993" s="128">
        <f>(1+target)^($J993-(MIN(tbl_rep_mon[year])))</f>
        <v>1.7490062499999994</v>
      </c>
      <c r="L993" s="35">
        <f t="shared" si="110"/>
        <v>0.33</v>
      </c>
      <c r="M993" s="37">
        <f t="shared" si="111"/>
        <v>9033.2286000000004</v>
      </c>
    </row>
    <row r="994" spans="1:13" x14ac:dyDescent="0.4">
      <c r="A994" t="s">
        <v>38</v>
      </c>
      <c r="B994">
        <v>2</v>
      </c>
      <c r="C994" s="36">
        <v>91093.61</v>
      </c>
      <c r="D994" s="1">
        <v>45689</v>
      </c>
      <c r="E994" s="35">
        <f t="shared" si="105"/>
        <v>0.51</v>
      </c>
      <c r="F994" s="37">
        <f t="shared" si="106"/>
        <v>45546.805</v>
      </c>
      <c r="G994" s="37">
        <f t="shared" si="107"/>
        <v>23228.87055</v>
      </c>
      <c r="H994" s="36" cm="1">
        <f t="array" ref="H994">SUMPRODUCT((C994&gt;tier_floor)*((C994-tier_floor)*step)*margin_rate)</f>
        <v>16603.87055</v>
      </c>
      <c r="I994" s="37">
        <f t="shared" si="108"/>
        <v>6625</v>
      </c>
      <c r="J994" s="38">
        <f t="shared" si="109"/>
        <v>2025</v>
      </c>
      <c r="K994" s="128">
        <f>(1+target)^($J994-(MIN(tbl_rep_mon[year])))</f>
        <v>1.7490062499999994</v>
      </c>
      <c r="L994" s="35">
        <f t="shared" si="110"/>
        <v>0.42</v>
      </c>
      <c r="M994" s="37">
        <f t="shared" si="111"/>
        <v>19129.658100000001</v>
      </c>
    </row>
    <row r="995" spans="1:13" x14ac:dyDescent="0.4">
      <c r="A995" t="s">
        <v>39</v>
      </c>
      <c r="B995">
        <v>2</v>
      </c>
      <c r="C995" s="36">
        <v>84010.69</v>
      </c>
      <c r="D995" s="1">
        <v>45689</v>
      </c>
      <c r="E995" s="35">
        <f t="shared" si="105"/>
        <v>0.51</v>
      </c>
      <c r="F995" s="37">
        <f t="shared" si="106"/>
        <v>42005.345000000001</v>
      </c>
      <c r="G995" s="37">
        <f t="shared" si="107"/>
        <v>21422.72595</v>
      </c>
      <c r="H995" s="36" cm="1">
        <f t="array" ref="H995">SUMPRODUCT((C995&gt;tier_floor)*((C995-tier_floor)*step)*margin_rate)</f>
        <v>14797.725950000002</v>
      </c>
      <c r="I995" s="37">
        <f t="shared" si="108"/>
        <v>6624.9999999999982</v>
      </c>
      <c r="J995" s="38">
        <f t="shared" si="109"/>
        <v>2025</v>
      </c>
      <c r="K995" s="128">
        <f>(1+target)^($J995-(MIN(tbl_rep_mon[year])))</f>
        <v>1.7490062499999994</v>
      </c>
      <c r="L995" s="35">
        <f t="shared" si="110"/>
        <v>0.33</v>
      </c>
      <c r="M995" s="37">
        <f t="shared" si="111"/>
        <v>13861.763850000001</v>
      </c>
    </row>
    <row r="996" spans="1:13" x14ac:dyDescent="0.4">
      <c r="A996" t="s">
        <v>40</v>
      </c>
      <c r="B996">
        <v>4</v>
      </c>
      <c r="C996" s="36">
        <v>45721</v>
      </c>
      <c r="D996" s="1">
        <v>45689</v>
      </c>
      <c r="E996" s="35">
        <f t="shared" si="105"/>
        <v>0.33</v>
      </c>
      <c r="F996" s="37">
        <f t="shared" si="106"/>
        <v>22860.5</v>
      </c>
      <c r="G996" s="37">
        <f t="shared" si="107"/>
        <v>7543.9650000000001</v>
      </c>
      <c r="H996" s="36" cm="1">
        <f t="array" ref="H996">SUMPRODUCT((C996&gt;tier_floor)*((C996-tier_floor)*step)*margin_rate)</f>
        <v>6543.9650000000001</v>
      </c>
      <c r="I996" s="37">
        <f t="shared" si="108"/>
        <v>1000</v>
      </c>
      <c r="J996" s="38">
        <f t="shared" si="109"/>
        <v>2025</v>
      </c>
      <c r="K996" s="128">
        <f>(1+target)^($J996-(MIN(tbl_rep_mon[year])))</f>
        <v>1.7490062499999994</v>
      </c>
      <c r="L996" s="35">
        <f t="shared" si="110"/>
        <v>0.33</v>
      </c>
      <c r="M996" s="37">
        <f t="shared" si="111"/>
        <v>7543.9650000000001</v>
      </c>
    </row>
    <row r="997" spans="1:13" x14ac:dyDescent="0.4">
      <c r="A997" t="s">
        <v>41</v>
      </c>
      <c r="B997">
        <v>2</v>
      </c>
      <c r="C997" s="36">
        <v>91666.92</v>
      </c>
      <c r="D997" s="1">
        <v>45689</v>
      </c>
      <c r="E997" s="35">
        <f t="shared" si="105"/>
        <v>0.51</v>
      </c>
      <c r="F997" s="37">
        <f t="shared" si="106"/>
        <v>45833.46</v>
      </c>
      <c r="G997" s="37">
        <f t="shared" si="107"/>
        <v>23375.064600000002</v>
      </c>
      <c r="H997" s="36" cm="1">
        <f t="array" ref="H997">SUMPRODUCT((C997&gt;tier_floor)*((C997-tier_floor)*step)*margin_rate)</f>
        <v>16750.064600000002</v>
      </c>
      <c r="I997" s="37">
        <f t="shared" si="108"/>
        <v>6625</v>
      </c>
      <c r="J997" s="38">
        <f t="shared" si="109"/>
        <v>2025</v>
      </c>
      <c r="K997" s="128">
        <f>(1+target)^($J997-(MIN(tbl_rep_mon[year])))</f>
        <v>1.7490062499999994</v>
      </c>
      <c r="L997" s="35">
        <f t="shared" si="110"/>
        <v>0.42</v>
      </c>
      <c r="M997" s="37">
        <f t="shared" si="111"/>
        <v>19250.053199999998</v>
      </c>
    </row>
    <row r="998" spans="1:13" x14ac:dyDescent="0.4">
      <c r="A998" t="s">
        <v>43</v>
      </c>
      <c r="B998">
        <v>4</v>
      </c>
      <c r="C998" s="36">
        <v>67112.2</v>
      </c>
      <c r="D998" s="1">
        <v>45689</v>
      </c>
      <c r="E998" s="35">
        <f t="shared" si="105"/>
        <v>0.42</v>
      </c>
      <c r="F998" s="37">
        <f t="shared" si="106"/>
        <v>33556.1</v>
      </c>
      <c r="G998" s="37">
        <f t="shared" si="107"/>
        <v>14093.561999999998</v>
      </c>
      <c r="H998" s="36" cm="1">
        <f t="array" ref="H998">SUMPRODUCT((C998&gt;tier_floor)*((C998-tier_floor)*step)*margin_rate)</f>
        <v>10843.561999999998</v>
      </c>
      <c r="I998" s="37">
        <f t="shared" si="108"/>
        <v>3250</v>
      </c>
      <c r="J998" s="38">
        <f t="shared" si="109"/>
        <v>2025</v>
      </c>
      <c r="K998" s="128">
        <f>(1+target)^($J998-(MIN(tbl_rep_mon[year])))</f>
        <v>1.7490062499999994</v>
      </c>
      <c r="L998" s="35">
        <f t="shared" si="110"/>
        <v>0.33</v>
      </c>
      <c r="M998" s="37">
        <f t="shared" si="111"/>
        <v>11073.513000000001</v>
      </c>
    </row>
    <row r="999" spans="1:13" x14ac:dyDescent="0.4">
      <c r="A999" t="s">
        <v>44</v>
      </c>
      <c r="B999">
        <v>3</v>
      </c>
      <c r="C999" s="36">
        <v>75451.679999999993</v>
      </c>
      <c r="D999" s="1">
        <v>45689</v>
      </c>
      <c r="E999" s="35">
        <f t="shared" si="105"/>
        <v>0.51</v>
      </c>
      <c r="F999" s="37">
        <f t="shared" si="106"/>
        <v>37725.839999999997</v>
      </c>
      <c r="G999" s="37">
        <f t="shared" si="107"/>
        <v>19240.178399999997</v>
      </c>
      <c r="H999" s="36" cm="1">
        <f t="array" ref="H999">SUMPRODUCT((C999&gt;tier_floor)*((C999-tier_floor)*step)*margin_rate)</f>
        <v>12615.178399999997</v>
      </c>
      <c r="I999" s="37">
        <f t="shared" si="108"/>
        <v>6625</v>
      </c>
      <c r="J999" s="38">
        <f t="shared" si="109"/>
        <v>2025</v>
      </c>
      <c r="K999" s="128">
        <f>(1+target)^($J999-(MIN(tbl_rep_mon[year])))</f>
        <v>1.7490062499999994</v>
      </c>
      <c r="L999" s="35">
        <f t="shared" si="110"/>
        <v>0.33</v>
      </c>
      <c r="M999" s="37">
        <f t="shared" si="111"/>
        <v>12449.527199999999</v>
      </c>
    </row>
    <row r="1000" spans="1:13" x14ac:dyDescent="0.4">
      <c r="A1000" t="s">
        <v>45</v>
      </c>
      <c r="B1000">
        <v>3</v>
      </c>
      <c r="C1000" s="36">
        <v>97952.03</v>
      </c>
      <c r="D1000" s="1">
        <v>45689</v>
      </c>
      <c r="E1000" s="35">
        <f t="shared" si="105"/>
        <v>0.51</v>
      </c>
      <c r="F1000" s="37">
        <f t="shared" si="106"/>
        <v>48976.014999999999</v>
      </c>
      <c r="G1000" s="37">
        <f t="shared" si="107"/>
        <v>24977.767650000002</v>
      </c>
      <c r="H1000" s="36" cm="1">
        <f t="array" ref="H1000">SUMPRODUCT((C1000&gt;tier_floor)*((C1000-tier_floor)*step)*margin_rate)</f>
        <v>18352.767649999998</v>
      </c>
      <c r="I1000" s="37">
        <f t="shared" si="108"/>
        <v>6625.0000000000036</v>
      </c>
      <c r="J1000" s="38">
        <f t="shared" si="109"/>
        <v>2025</v>
      </c>
      <c r="K1000" s="128">
        <f>(1+target)^($J1000-(MIN(tbl_rep_mon[year])))</f>
        <v>1.7490062499999994</v>
      </c>
      <c r="L1000" s="35">
        <f t="shared" si="110"/>
        <v>0.42</v>
      </c>
      <c r="M1000" s="37">
        <f t="shared" si="111"/>
        <v>20569.926299999999</v>
      </c>
    </row>
    <row r="1001" spans="1:13" x14ac:dyDescent="0.4">
      <c r="A1001" t="s">
        <v>46</v>
      </c>
      <c r="B1001">
        <v>4</v>
      </c>
      <c r="C1001" s="36">
        <v>32164.06</v>
      </c>
      <c r="D1001" s="1">
        <v>45689</v>
      </c>
      <c r="E1001" s="35">
        <f t="shared" si="105"/>
        <v>0.33</v>
      </c>
      <c r="F1001" s="37">
        <f t="shared" si="106"/>
        <v>16082.03</v>
      </c>
      <c r="G1001" s="37">
        <f t="shared" si="107"/>
        <v>5307.0699000000004</v>
      </c>
      <c r="H1001" s="36" cm="1">
        <f t="array" ref="H1001">SUMPRODUCT((C1001&gt;tier_floor)*((C1001-tier_floor)*step)*margin_rate)</f>
        <v>4307.0699000000004</v>
      </c>
      <c r="I1001" s="37">
        <f t="shared" si="108"/>
        <v>1000</v>
      </c>
      <c r="J1001" s="38">
        <f t="shared" si="109"/>
        <v>2025</v>
      </c>
      <c r="K1001" s="128">
        <f>(1+target)^($J1001-(MIN(tbl_rep_mon[year])))</f>
        <v>1.7490062499999994</v>
      </c>
      <c r="L1001" s="35">
        <f t="shared" si="110"/>
        <v>0.25</v>
      </c>
      <c r="M1001" s="37">
        <f t="shared" si="111"/>
        <v>4020.5075000000002</v>
      </c>
    </row>
    <row r="1002" spans="1:13" x14ac:dyDescent="0.4">
      <c r="A1002" t="s">
        <v>6</v>
      </c>
      <c r="B1002">
        <v>2</v>
      </c>
      <c r="C1002" s="36">
        <v>83402.429999999993</v>
      </c>
      <c r="D1002" s="1">
        <v>45717</v>
      </c>
      <c r="E1002" s="35">
        <f t="shared" si="105"/>
        <v>0.51</v>
      </c>
      <c r="F1002" s="37">
        <f t="shared" si="106"/>
        <v>41701.214999999997</v>
      </c>
      <c r="G1002" s="37">
        <f t="shared" si="107"/>
        <v>21267.619649999997</v>
      </c>
      <c r="H1002" s="36" cm="1">
        <f t="array" ref="H1002">SUMPRODUCT((C1002&gt;tier_floor)*((C1002-tier_floor)*step)*margin_rate)</f>
        <v>14642.619649999999</v>
      </c>
      <c r="I1002" s="37">
        <f t="shared" si="108"/>
        <v>6624.9999999999982</v>
      </c>
      <c r="J1002" s="38">
        <f t="shared" si="109"/>
        <v>2025</v>
      </c>
      <c r="K1002" s="128">
        <f>(1+target)^($J1002-(MIN(tbl_rep_mon[year])))</f>
        <v>1.7490062499999994</v>
      </c>
      <c r="L1002" s="35">
        <f t="shared" si="110"/>
        <v>0.33</v>
      </c>
      <c r="M1002" s="37">
        <f t="shared" si="111"/>
        <v>13761.400949999999</v>
      </c>
    </row>
    <row r="1003" spans="1:13" x14ac:dyDescent="0.4">
      <c r="A1003" t="s">
        <v>15</v>
      </c>
      <c r="B1003">
        <v>3</v>
      </c>
      <c r="C1003" s="36">
        <v>113981.89</v>
      </c>
      <c r="D1003" s="1">
        <v>45717</v>
      </c>
      <c r="E1003" s="35">
        <f t="shared" si="105"/>
        <v>0.6</v>
      </c>
      <c r="F1003" s="37">
        <f t="shared" si="106"/>
        <v>56990.945</v>
      </c>
      <c r="G1003" s="37">
        <f t="shared" si="107"/>
        <v>34194.566999999995</v>
      </c>
      <c r="H1003" s="36" cm="1">
        <f t="array" ref="H1003">SUMPRODUCT((C1003&gt;tier_floor)*((C1003-tier_floor)*step)*margin_rate)</f>
        <v>23069.567000000003</v>
      </c>
      <c r="I1003" s="37">
        <f t="shared" si="108"/>
        <v>11124.999999999993</v>
      </c>
      <c r="J1003" s="38">
        <f t="shared" si="109"/>
        <v>2025</v>
      </c>
      <c r="K1003" s="128">
        <f>(1+target)^($J1003-(MIN(tbl_rep_mon[year])))</f>
        <v>1.7490062499999994</v>
      </c>
      <c r="L1003" s="35">
        <f t="shared" si="110"/>
        <v>0.42</v>
      </c>
      <c r="M1003" s="37">
        <f t="shared" si="111"/>
        <v>23936.196899999999</v>
      </c>
    </row>
    <row r="1004" spans="1:13" x14ac:dyDescent="0.4">
      <c r="A1004" t="s">
        <v>19</v>
      </c>
      <c r="B1004">
        <v>4</v>
      </c>
      <c r="C1004" s="36">
        <v>88832.79</v>
      </c>
      <c r="D1004" s="1">
        <v>45717</v>
      </c>
      <c r="E1004" s="35">
        <f t="shared" si="105"/>
        <v>0.51</v>
      </c>
      <c r="F1004" s="37">
        <f t="shared" si="106"/>
        <v>44416.394999999997</v>
      </c>
      <c r="G1004" s="37">
        <f t="shared" si="107"/>
        <v>22652.36145</v>
      </c>
      <c r="H1004" s="36" cm="1">
        <f t="array" ref="H1004">SUMPRODUCT((C1004&gt;tier_floor)*((C1004-tier_floor)*step)*margin_rate)</f>
        <v>16027.361449999999</v>
      </c>
      <c r="I1004" s="37">
        <f t="shared" si="108"/>
        <v>6625.0000000000018</v>
      </c>
      <c r="J1004" s="38">
        <f t="shared" si="109"/>
        <v>2025</v>
      </c>
      <c r="K1004" s="128">
        <f>(1+target)^($J1004-(MIN(tbl_rep_mon[year])))</f>
        <v>1.7490062499999994</v>
      </c>
      <c r="L1004" s="35">
        <f t="shared" si="110"/>
        <v>0.42</v>
      </c>
      <c r="M1004" s="37">
        <f t="shared" si="111"/>
        <v>18654.885899999997</v>
      </c>
    </row>
    <row r="1005" spans="1:13" x14ac:dyDescent="0.4">
      <c r="A1005" t="s">
        <v>23</v>
      </c>
      <c r="B1005">
        <v>1</v>
      </c>
      <c r="C1005" s="36">
        <v>155391.94</v>
      </c>
      <c r="D1005" s="1">
        <v>45717</v>
      </c>
      <c r="E1005" s="35">
        <f t="shared" si="105"/>
        <v>0.6</v>
      </c>
      <c r="F1005" s="37">
        <f t="shared" si="106"/>
        <v>77695.97</v>
      </c>
      <c r="G1005" s="37">
        <f t="shared" si="107"/>
        <v>46617.582000000002</v>
      </c>
      <c r="H1005" s="36" cm="1">
        <f t="array" ref="H1005">SUMPRODUCT((C1005&gt;tier_floor)*((C1005-tier_floor)*step)*margin_rate)</f>
        <v>35492.582000000002</v>
      </c>
      <c r="I1005" s="37">
        <f t="shared" si="108"/>
        <v>11125</v>
      </c>
      <c r="J1005" s="38">
        <f t="shared" si="109"/>
        <v>2025</v>
      </c>
      <c r="K1005" s="128">
        <f>(1+target)^($J1005-(MIN(tbl_rep_mon[year])))</f>
        <v>1.7490062499999994</v>
      </c>
      <c r="L1005" s="35">
        <f t="shared" si="110"/>
        <v>0.51</v>
      </c>
      <c r="M1005" s="37">
        <f t="shared" si="111"/>
        <v>39624.9447</v>
      </c>
    </row>
    <row r="1006" spans="1:13" x14ac:dyDescent="0.4">
      <c r="A1006" t="s">
        <v>24</v>
      </c>
      <c r="B1006">
        <v>3</v>
      </c>
      <c r="C1006" s="36">
        <v>87096.27</v>
      </c>
      <c r="D1006" s="1">
        <v>45717</v>
      </c>
      <c r="E1006" s="35">
        <f t="shared" si="105"/>
        <v>0.51</v>
      </c>
      <c r="F1006" s="37">
        <f t="shared" si="106"/>
        <v>43548.135000000002</v>
      </c>
      <c r="G1006" s="37">
        <f t="shared" si="107"/>
        <v>22209.548850000003</v>
      </c>
      <c r="H1006" s="36" cm="1">
        <f t="array" ref="H1006">SUMPRODUCT((C1006&gt;tier_floor)*((C1006-tier_floor)*step)*margin_rate)</f>
        <v>15584.548850000001</v>
      </c>
      <c r="I1006" s="37">
        <f t="shared" si="108"/>
        <v>6625.0000000000018</v>
      </c>
      <c r="J1006" s="38">
        <f t="shared" si="109"/>
        <v>2025</v>
      </c>
      <c r="K1006" s="128">
        <f>(1+target)^($J1006-(MIN(tbl_rep_mon[year])))</f>
        <v>1.7490062499999994</v>
      </c>
      <c r="L1006" s="35">
        <f t="shared" si="110"/>
        <v>0.33</v>
      </c>
      <c r="M1006" s="37">
        <f t="shared" si="111"/>
        <v>14370.884550000001</v>
      </c>
    </row>
    <row r="1007" spans="1:13" x14ac:dyDescent="0.4">
      <c r="A1007" t="s">
        <v>29</v>
      </c>
      <c r="B1007">
        <v>1</v>
      </c>
      <c r="C1007" s="36">
        <v>128952.07</v>
      </c>
      <c r="D1007" s="1">
        <v>45717</v>
      </c>
      <c r="E1007" s="35">
        <f t="shared" si="105"/>
        <v>0.6</v>
      </c>
      <c r="F1007" s="37">
        <f t="shared" si="106"/>
        <v>64476.035000000003</v>
      </c>
      <c r="G1007" s="37">
        <f t="shared" si="107"/>
        <v>38685.620999999999</v>
      </c>
      <c r="H1007" s="36" cm="1">
        <f t="array" ref="H1007">SUMPRODUCT((C1007&gt;tier_floor)*((C1007-tier_floor)*step)*margin_rate)</f>
        <v>27560.621000000003</v>
      </c>
      <c r="I1007" s="37">
        <f t="shared" si="108"/>
        <v>11124.999999999996</v>
      </c>
      <c r="J1007" s="38">
        <f t="shared" si="109"/>
        <v>2025</v>
      </c>
      <c r="K1007" s="128">
        <f>(1+target)^($J1007-(MIN(tbl_rep_mon[year])))</f>
        <v>1.7490062499999994</v>
      </c>
      <c r="L1007" s="35">
        <f t="shared" si="110"/>
        <v>0.42</v>
      </c>
      <c r="M1007" s="37">
        <f t="shared" si="111"/>
        <v>27079.934700000002</v>
      </c>
    </row>
    <row r="1008" spans="1:13" x14ac:dyDescent="0.4">
      <c r="A1008" t="s">
        <v>32</v>
      </c>
      <c r="B1008">
        <v>4</v>
      </c>
      <c r="C1008" s="36">
        <v>98488.78</v>
      </c>
      <c r="D1008" s="1">
        <v>45717</v>
      </c>
      <c r="E1008" s="35">
        <f t="shared" si="105"/>
        <v>0.51</v>
      </c>
      <c r="F1008" s="37">
        <f t="shared" si="106"/>
        <v>49244.39</v>
      </c>
      <c r="G1008" s="37">
        <f t="shared" si="107"/>
        <v>25114.638900000002</v>
      </c>
      <c r="H1008" s="36" cm="1">
        <f t="array" ref="H1008">SUMPRODUCT((C1008&gt;tier_floor)*((C1008-tier_floor)*step)*margin_rate)</f>
        <v>18489.638899999998</v>
      </c>
      <c r="I1008" s="37">
        <f t="shared" si="108"/>
        <v>6625.0000000000036</v>
      </c>
      <c r="J1008" s="38">
        <f t="shared" si="109"/>
        <v>2025</v>
      </c>
      <c r="K1008" s="128">
        <f>(1+target)^($J1008-(MIN(tbl_rep_mon[year])))</f>
        <v>1.7490062499999994</v>
      </c>
      <c r="L1008" s="35">
        <f t="shared" si="110"/>
        <v>0.42</v>
      </c>
      <c r="M1008" s="37">
        <f t="shared" si="111"/>
        <v>20682.643799999998</v>
      </c>
    </row>
    <row r="1009" spans="1:13" x14ac:dyDescent="0.4">
      <c r="A1009" t="s">
        <v>33</v>
      </c>
      <c r="B1009">
        <v>3</v>
      </c>
      <c r="C1009" s="36">
        <v>91011.6</v>
      </c>
      <c r="D1009" s="1">
        <v>45717</v>
      </c>
      <c r="E1009" s="35">
        <f t="shared" si="105"/>
        <v>0.51</v>
      </c>
      <c r="F1009" s="37">
        <f t="shared" si="106"/>
        <v>45505.8</v>
      </c>
      <c r="G1009" s="37">
        <f t="shared" si="107"/>
        <v>23207.958000000002</v>
      </c>
      <c r="H1009" s="36" cm="1">
        <f t="array" ref="H1009">SUMPRODUCT((C1009&gt;tier_floor)*((C1009-tier_floor)*step)*margin_rate)</f>
        <v>16582.957999999999</v>
      </c>
      <c r="I1009" s="37">
        <f t="shared" si="108"/>
        <v>6625.0000000000036</v>
      </c>
      <c r="J1009" s="38">
        <f t="shared" si="109"/>
        <v>2025</v>
      </c>
      <c r="K1009" s="128">
        <f>(1+target)^($J1009-(MIN(tbl_rep_mon[year])))</f>
        <v>1.7490062499999994</v>
      </c>
      <c r="L1009" s="35">
        <f t="shared" si="110"/>
        <v>0.42</v>
      </c>
      <c r="M1009" s="37">
        <f t="shared" si="111"/>
        <v>19112.436000000002</v>
      </c>
    </row>
    <row r="1010" spans="1:13" x14ac:dyDescent="0.4">
      <c r="A1010" t="s">
        <v>34</v>
      </c>
      <c r="B1010">
        <v>4</v>
      </c>
      <c r="C1010" s="36">
        <v>73177.899999999994</v>
      </c>
      <c r="D1010" s="1">
        <v>45717</v>
      </c>
      <c r="E1010" s="35">
        <f t="shared" si="105"/>
        <v>0.42</v>
      </c>
      <c r="F1010" s="37">
        <f t="shared" si="106"/>
        <v>36588.949999999997</v>
      </c>
      <c r="G1010" s="37">
        <f t="shared" si="107"/>
        <v>15367.358999999999</v>
      </c>
      <c r="H1010" s="36" cm="1">
        <f t="array" ref="H1010">SUMPRODUCT((C1010&gt;tier_floor)*((C1010-tier_floor)*step)*margin_rate)</f>
        <v>12117.358999999999</v>
      </c>
      <c r="I1010" s="37">
        <f t="shared" si="108"/>
        <v>3250</v>
      </c>
      <c r="J1010" s="38">
        <f t="shared" si="109"/>
        <v>2025</v>
      </c>
      <c r="K1010" s="128">
        <f>(1+target)^($J1010-(MIN(tbl_rep_mon[year])))</f>
        <v>1.7490062499999994</v>
      </c>
      <c r="L1010" s="35">
        <f t="shared" si="110"/>
        <v>0.33</v>
      </c>
      <c r="M1010" s="37">
        <f t="shared" si="111"/>
        <v>12074.353499999999</v>
      </c>
    </row>
    <row r="1011" spans="1:13" x14ac:dyDescent="0.4">
      <c r="A1011" t="s">
        <v>35</v>
      </c>
      <c r="B1011">
        <v>4</v>
      </c>
      <c r="C1011" s="36">
        <v>61413.57</v>
      </c>
      <c r="D1011" s="1">
        <v>45717</v>
      </c>
      <c r="E1011" s="35">
        <f t="shared" si="105"/>
        <v>0.42</v>
      </c>
      <c r="F1011" s="37">
        <f t="shared" si="106"/>
        <v>30706.785</v>
      </c>
      <c r="G1011" s="37">
        <f t="shared" si="107"/>
        <v>12896.849699999999</v>
      </c>
      <c r="H1011" s="36" cm="1">
        <f t="array" ref="H1011">SUMPRODUCT((C1011&gt;tier_floor)*((C1011-tier_floor)*step)*margin_rate)</f>
        <v>9646.8497000000007</v>
      </c>
      <c r="I1011" s="37">
        <f t="shared" si="108"/>
        <v>3249.9999999999982</v>
      </c>
      <c r="J1011" s="38">
        <f t="shared" si="109"/>
        <v>2025</v>
      </c>
      <c r="K1011" s="128">
        <f>(1+target)^($J1011-(MIN(tbl_rep_mon[year])))</f>
        <v>1.7490062499999994</v>
      </c>
      <c r="L1011" s="35">
        <f t="shared" si="110"/>
        <v>0.33</v>
      </c>
      <c r="M1011" s="37">
        <f t="shared" si="111"/>
        <v>10133.23905</v>
      </c>
    </row>
    <row r="1012" spans="1:13" x14ac:dyDescent="0.4">
      <c r="A1012" t="s">
        <v>37</v>
      </c>
      <c r="B1012">
        <v>4</v>
      </c>
      <c r="C1012" s="36">
        <v>67799.88</v>
      </c>
      <c r="D1012" s="1">
        <v>45717</v>
      </c>
      <c r="E1012" s="35">
        <f t="shared" si="105"/>
        <v>0.42</v>
      </c>
      <c r="F1012" s="37">
        <f t="shared" si="106"/>
        <v>33899.94</v>
      </c>
      <c r="G1012" s="37">
        <f t="shared" si="107"/>
        <v>14237.9748</v>
      </c>
      <c r="H1012" s="36" cm="1">
        <f t="array" ref="H1012">SUMPRODUCT((C1012&gt;tier_floor)*((C1012-tier_floor)*step)*margin_rate)</f>
        <v>10987.974800000002</v>
      </c>
      <c r="I1012" s="37">
        <f t="shared" si="108"/>
        <v>3249.9999999999982</v>
      </c>
      <c r="J1012" s="38">
        <f t="shared" si="109"/>
        <v>2025</v>
      </c>
      <c r="K1012" s="128">
        <f>(1+target)^($J1012-(MIN(tbl_rep_mon[year])))</f>
        <v>1.7490062499999994</v>
      </c>
      <c r="L1012" s="35">
        <f t="shared" si="110"/>
        <v>0.33</v>
      </c>
      <c r="M1012" s="37">
        <f t="shared" si="111"/>
        <v>11186.980200000002</v>
      </c>
    </row>
    <row r="1013" spans="1:13" x14ac:dyDescent="0.4">
      <c r="A1013" t="s">
        <v>38</v>
      </c>
      <c r="B1013">
        <v>2</v>
      </c>
      <c r="C1013" s="36">
        <v>119486.39999999999</v>
      </c>
      <c r="D1013" s="1">
        <v>45717</v>
      </c>
      <c r="E1013" s="35">
        <f t="shared" si="105"/>
        <v>0.6</v>
      </c>
      <c r="F1013" s="37">
        <f t="shared" si="106"/>
        <v>59743.199999999997</v>
      </c>
      <c r="G1013" s="37">
        <f t="shared" si="107"/>
        <v>35845.919999999998</v>
      </c>
      <c r="H1013" s="36" cm="1">
        <f t="array" ref="H1013">SUMPRODUCT((C1013&gt;tier_floor)*((C1013-tier_floor)*step)*margin_rate)</f>
        <v>24720.92</v>
      </c>
      <c r="I1013" s="37">
        <f t="shared" si="108"/>
        <v>11125</v>
      </c>
      <c r="J1013" s="38">
        <f t="shared" si="109"/>
        <v>2025</v>
      </c>
      <c r="K1013" s="128">
        <f>(1+target)^($J1013-(MIN(tbl_rep_mon[year])))</f>
        <v>1.7490062499999994</v>
      </c>
      <c r="L1013" s="35">
        <f t="shared" si="110"/>
        <v>0.42</v>
      </c>
      <c r="M1013" s="37">
        <f t="shared" si="111"/>
        <v>25092.143999999997</v>
      </c>
    </row>
    <row r="1014" spans="1:13" x14ac:dyDescent="0.4">
      <c r="A1014" t="s">
        <v>39</v>
      </c>
      <c r="B1014">
        <v>2</v>
      </c>
      <c r="C1014" s="36">
        <v>78781.22</v>
      </c>
      <c r="D1014" s="1">
        <v>45717</v>
      </c>
      <c r="E1014" s="35">
        <f t="shared" si="105"/>
        <v>0.51</v>
      </c>
      <c r="F1014" s="37">
        <f t="shared" si="106"/>
        <v>39390.61</v>
      </c>
      <c r="G1014" s="37">
        <f t="shared" si="107"/>
        <v>20089.2111</v>
      </c>
      <c r="H1014" s="36" cm="1">
        <f t="array" ref="H1014">SUMPRODUCT((C1014&gt;tier_floor)*((C1014-tier_floor)*step)*margin_rate)</f>
        <v>13464.2111</v>
      </c>
      <c r="I1014" s="37">
        <f t="shared" si="108"/>
        <v>6625</v>
      </c>
      <c r="J1014" s="38">
        <f t="shared" si="109"/>
        <v>2025</v>
      </c>
      <c r="K1014" s="128">
        <f>(1+target)^($J1014-(MIN(tbl_rep_mon[year])))</f>
        <v>1.7490062499999994</v>
      </c>
      <c r="L1014" s="35">
        <f t="shared" si="110"/>
        <v>0.33</v>
      </c>
      <c r="M1014" s="37">
        <f t="shared" si="111"/>
        <v>12998.901300000001</v>
      </c>
    </row>
    <row r="1015" spans="1:13" x14ac:dyDescent="0.4">
      <c r="A1015" t="s">
        <v>41</v>
      </c>
      <c r="B1015">
        <v>2</v>
      </c>
      <c r="C1015" s="36">
        <v>104511.59</v>
      </c>
      <c r="D1015" s="1">
        <v>45717</v>
      </c>
      <c r="E1015" s="35">
        <f t="shared" si="105"/>
        <v>0.6</v>
      </c>
      <c r="F1015" s="37">
        <f t="shared" si="106"/>
        <v>52255.794999999998</v>
      </c>
      <c r="G1015" s="37">
        <f t="shared" si="107"/>
        <v>31353.476999999999</v>
      </c>
      <c r="H1015" s="36" cm="1">
        <f t="array" ref="H1015">SUMPRODUCT((C1015&gt;tier_floor)*((C1015-tier_floor)*step)*margin_rate)</f>
        <v>20228.477000000003</v>
      </c>
      <c r="I1015" s="37">
        <f t="shared" si="108"/>
        <v>11124.999999999996</v>
      </c>
      <c r="J1015" s="38">
        <f t="shared" si="109"/>
        <v>2025</v>
      </c>
      <c r="K1015" s="128">
        <f>(1+target)^($J1015-(MIN(tbl_rep_mon[year])))</f>
        <v>1.7490062499999994</v>
      </c>
      <c r="L1015" s="35">
        <f t="shared" si="110"/>
        <v>0.42</v>
      </c>
      <c r="M1015" s="37">
        <f t="shared" si="111"/>
        <v>21947.4339</v>
      </c>
    </row>
    <row r="1016" spans="1:13" x14ac:dyDescent="0.4">
      <c r="A1016" t="s">
        <v>43</v>
      </c>
      <c r="B1016">
        <v>4</v>
      </c>
      <c r="C1016" s="36">
        <v>70249.490000000005</v>
      </c>
      <c r="D1016" s="1">
        <v>45717</v>
      </c>
      <c r="E1016" s="35">
        <f t="shared" si="105"/>
        <v>0.42</v>
      </c>
      <c r="F1016" s="37">
        <f t="shared" si="106"/>
        <v>35124.745000000003</v>
      </c>
      <c r="G1016" s="37">
        <f t="shared" si="107"/>
        <v>14752.392900000001</v>
      </c>
      <c r="H1016" s="36" cm="1">
        <f t="array" ref="H1016">SUMPRODUCT((C1016&gt;tier_floor)*((C1016-tier_floor)*step)*margin_rate)</f>
        <v>11502.392900000001</v>
      </c>
      <c r="I1016" s="37">
        <f t="shared" si="108"/>
        <v>3250</v>
      </c>
      <c r="J1016" s="38">
        <f t="shared" si="109"/>
        <v>2025</v>
      </c>
      <c r="K1016" s="128">
        <f>(1+target)^($J1016-(MIN(tbl_rep_mon[year])))</f>
        <v>1.7490062499999994</v>
      </c>
      <c r="L1016" s="35">
        <f t="shared" si="110"/>
        <v>0.33</v>
      </c>
      <c r="M1016" s="37">
        <f t="shared" si="111"/>
        <v>11591.165850000001</v>
      </c>
    </row>
    <row r="1017" spans="1:13" x14ac:dyDescent="0.4">
      <c r="A1017" t="s">
        <v>44</v>
      </c>
      <c r="B1017">
        <v>3</v>
      </c>
      <c r="C1017" s="36">
        <v>68759.63</v>
      </c>
      <c r="D1017" s="1">
        <v>45717</v>
      </c>
      <c r="E1017" s="35">
        <f t="shared" si="105"/>
        <v>0.42</v>
      </c>
      <c r="F1017" s="37">
        <f t="shared" si="106"/>
        <v>34379.815000000002</v>
      </c>
      <c r="G1017" s="37">
        <f t="shared" si="107"/>
        <v>14439.522300000001</v>
      </c>
      <c r="H1017" s="36" cm="1">
        <f t="array" ref="H1017">SUMPRODUCT((C1017&gt;tier_floor)*((C1017-tier_floor)*step)*margin_rate)</f>
        <v>11189.522300000001</v>
      </c>
      <c r="I1017" s="37">
        <f t="shared" si="108"/>
        <v>3250</v>
      </c>
      <c r="J1017" s="38">
        <f t="shared" si="109"/>
        <v>2025</v>
      </c>
      <c r="K1017" s="128">
        <f>(1+target)^($J1017-(MIN(tbl_rep_mon[year])))</f>
        <v>1.7490062499999994</v>
      </c>
      <c r="L1017" s="35">
        <f t="shared" si="110"/>
        <v>0.33</v>
      </c>
      <c r="M1017" s="37">
        <f t="shared" si="111"/>
        <v>11345.338950000001</v>
      </c>
    </row>
    <row r="1018" spans="1:13" x14ac:dyDescent="0.4">
      <c r="A1018" t="s">
        <v>45</v>
      </c>
      <c r="B1018">
        <v>3</v>
      </c>
      <c r="C1018" s="36">
        <v>105498.61</v>
      </c>
      <c r="D1018" s="1">
        <v>45717</v>
      </c>
      <c r="E1018" s="35">
        <f t="shared" si="105"/>
        <v>0.6</v>
      </c>
      <c r="F1018" s="37">
        <f t="shared" si="106"/>
        <v>52749.305</v>
      </c>
      <c r="G1018" s="37">
        <f t="shared" si="107"/>
        <v>31649.582999999999</v>
      </c>
      <c r="H1018" s="36" cm="1">
        <f t="array" ref="H1018">SUMPRODUCT((C1018&gt;tier_floor)*((C1018-tier_floor)*step)*margin_rate)</f>
        <v>20524.583000000002</v>
      </c>
      <c r="I1018" s="37">
        <f t="shared" si="108"/>
        <v>11124.999999999996</v>
      </c>
      <c r="J1018" s="38">
        <f t="shared" si="109"/>
        <v>2025</v>
      </c>
      <c r="K1018" s="128">
        <f>(1+target)^($J1018-(MIN(tbl_rep_mon[year])))</f>
        <v>1.7490062499999994</v>
      </c>
      <c r="L1018" s="35">
        <f t="shared" si="110"/>
        <v>0.42</v>
      </c>
      <c r="M1018" s="37">
        <f t="shared" si="111"/>
        <v>22154.7081</v>
      </c>
    </row>
    <row r="1019" spans="1:13" x14ac:dyDescent="0.4">
      <c r="A1019" t="s">
        <v>46</v>
      </c>
      <c r="B1019">
        <v>4</v>
      </c>
      <c r="C1019" s="36">
        <v>77341.02</v>
      </c>
      <c r="D1019" s="1">
        <v>45717</v>
      </c>
      <c r="E1019" s="35">
        <f t="shared" si="105"/>
        <v>0.51</v>
      </c>
      <c r="F1019" s="37">
        <f t="shared" si="106"/>
        <v>38670.51</v>
      </c>
      <c r="G1019" s="37">
        <f t="shared" si="107"/>
        <v>19721.9601</v>
      </c>
      <c r="H1019" s="36" cm="1">
        <f t="array" ref="H1019">SUMPRODUCT((C1019&gt;tier_floor)*((C1019-tier_floor)*step)*margin_rate)</f>
        <v>13096.960100000002</v>
      </c>
      <c r="I1019" s="37">
        <f t="shared" si="108"/>
        <v>6624.9999999999982</v>
      </c>
      <c r="J1019" s="38">
        <f t="shared" si="109"/>
        <v>2025</v>
      </c>
      <c r="K1019" s="128">
        <f>(1+target)^($J1019-(MIN(tbl_rep_mon[year])))</f>
        <v>1.7490062499999994</v>
      </c>
      <c r="L1019" s="35">
        <f t="shared" si="110"/>
        <v>0.33</v>
      </c>
      <c r="M1019" s="37">
        <f t="shared" si="111"/>
        <v>12761.268300000002</v>
      </c>
    </row>
    <row r="1020" spans="1:13" x14ac:dyDescent="0.4">
      <c r="A1020" t="s">
        <v>47</v>
      </c>
      <c r="B1020">
        <v>2</v>
      </c>
      <c r="C1020" s="36">
        <v>36455.24</v>
      </c>
      <c r="D1020" s="1">
        <v>45717</v>
      </c>
      <c r="E1020" s="35">
        <f t="shared" si="105"/>
        <v>0.33</v>
      </c>
      <c r="F1020" s="37">
        <f t="shared" si="106"/>
        <v>18227.62</v>
      </c>
      <c r="G1020" s="37">
        <f t="shared" si="107"/>
        <v>6015.1145999999999</v>
      </c>
      <c r="H1020" s="36" cm="1">
        <f t="array" ref="H1020">SUMPRODUCT((C1020&gt;tier_floor)*((C1020-tier_floor)*step)*margin_rate)</f>
        <v>5015.1145999999999</v>
      </c>
      <c r="I1020" s="37">
        <f t="shared" si="108"/>
        <v>1000</v>
      </c>
      <c r="J1020" s="38">
        <f t="shared" si="109"/>
        <v>2025</v>
      </c>
      <c r="K1020" s="128">
        <f>(1+target)^($J1020-(MIN(tbl_rep_mon[year])))</f>
        <v>1.7490062499999994</v>
      </c>
      <c r="L1020" s="35">
        <f t="shared" si="110"/>
        <v>0.25</v>
      </c>
      <c r="M1020" s="37">
        <f t="shared" si="111"/>
        <v>4556.9049999999997</v>
      </c>
    </row>
    <row r="1021" spans="1:13" x14ac:dyDescent="0.4">
      <c r="A1021" t="s">
        <v>48</v>
      </c>
      <c r="B1021">
        <v>4</v>
      </c>
      <c r="C1021" s="36">
        <v>28989.78</v>
      </c>
      <c r="D1021" s="1">
        <v>45717</v>
      </c>
      <c r="E1021" s="35">
        <f t="shared" si="105"/>
        <v>0.33</v>
      </c>
      <c r="F1021" s="37">
        <f t="shared" si="106"/>
        <v>14494.89</v>
      </c>
      <c r="G1021" s="37">
        <f t="shared" si="107"/>
        <v>4783.3136999999997</v>
      </c>
      <c r="H1021" s="36" cm="1">
        <f t="array" ref="H1021">SUMPRODUCT((C1021&gt;tier_floor)*((C1021-tier_floor)*step)*margin_rate)</f>
        <v>3783.3136999999997</v>
      </c>
      <c r="I1021" s="37">
        <f t="shared" si="108"/>
        <v>1000</v>
      </c>
      <c r="J1021" s="38">
        <f t="shared" si="109"/>
        <v>2025</v>
      </c>
      <c r="K1021" s="128">
        <f>(1+target)^($J1021-(MIN(tbl_rep_mon[year])))</f>
        <v>1.7490062499999994</v>
      </c>
      <c r="L1021" s="35">
        <f t="shared" si="110"/>
        <v>0.25</v>
      </c>
      <c r="M1021" s="37">
        <f t="shared" si="111"/>
        <v>3623.7224999999999</v>
      </c>
    </row>
    <row r="1022" spans="1:13" x14ac:dyDescent="0.4">
      <c r="A1022" t="s">
        <v>6</v>
      </c>
      <c r="B1022">
        <v>2</v>
      </c>
      <c r="C1022" s="36">
        <v>76523.94</v>
      </c>
      <c r="D1022" s="1">
        <v>45748</v>
      </c>
      <c r="E1022" s="35">
        <f t="shared" si="105"/>
        <v>0.51</v>
      </c>
      <c r="F1022" s="37">
        <f t="shared" si="106"/>
        <v>38261.97</v>
      </c>
      <c r="G1022" s="37">
        <f t="shared" si="107"/>
        <v>19513.6047</v>
      </c>
      <c r="H1022" s="36" cm="1">
        <f t="array" ref="H1022">SUMPRODUCT((C1022&gt;tier_floor)*((C1022-tier_floor)*step)*margin_rate)</f>
        <v>12888.604700000002</v>
      </c>
      <c r="I1022" s="37">
        <f t="shared" si="108"/>
        <v>6624.9999999999982</v>
      </c>
      <c r="J1022" s="38">
        <f t="shared" si="109"/>
        <v>2025</v>
      </c>
      <c r="K1022" s="128">
        <f>(1+target)^($J1022-(MIN(tbl_rep_mon[year])))</f>
        <v>1.7490062499999994</v>
      </c>
      <c r="L1022" s="35">
        <f t="shared" si="110"/>
        <v>0.33</v>
      </c>
      <c r="M1022" s="37">
        <f t="shared" si="111"/>
        <v>12626.450100000002</v>
      </c>
    </row>
    <row r="1023" spans="1:13" x14ac:dyDescent="0.4">
      <c r="A1023" t="s">
        <v>15</v>
      </c>
      <c r="B1023">
        <v>3</v>
      </c>
      <c r="C1023" s="36">
        <v>106906.05</v>
      </c>
      <c r="D1023" s="1">
        <v>45748</v>
      </c>
      <c r="E1023" s="35">
        <f t="shared" si="105"/>
        <v>0.6</v>
      </c>
      <c r="F1023" s="37">
        <f t="shared" si="106"/>
        <v>53453.025000000001</v>
      </c>
      <c r="G1023" s="37">
        <f t="shared" si="107"/>
        <v>32071.814999999999</v>
      </c>
      <c r="H1023" s="36" cm="1">
        <f t="array" ref="H1023">SUMPRODUCT((C1023&gt;tier_floor)*((C1023-tier_floor)*step)*margin_rate)</f>
        <v>20946.815000000002</v>
      </c>
      <c r="I1023" s="37">
        <f t="shared" si="108"/>
        <v>11124.999999999996</v>
      </c>
      <c r="J1023" s="38">
        <f t="shared" si="109"/>
        <v>2025</v>
      </c>
      <c r="K1023" s="128">
        <f>(1+target)^($J1023-(MIN(tbl_rep_mon[year])))</f>
        <v>1.7490062499999994</v>
      </c>
      <c r="L1023" s="35">
        <f t="shared" si="110"/>
        <v>0.42</v>
      </c>
      <c r="M1023" s="37">
        <f t="shared" si="111"/>
        <v>22450.270499999999</v>
      </c>
    </row>
    <row r="1024" spans="1:13" x14ac:dyDescent="0.4">
      <c r="A1024" t="s">
        <v>19</v>
      </c>
      <c r="B1024">
        <v>4</v>
      </c>
      <c r="C1024" s="36">
        <v>118392.75</v>
      </c>
      <c r="D1024" s="1">
        <v>45748</v>
      </c>
      <c r="E1024" s="35">
        <f t="shared" si="105"/>
        <v>0.6</v>
      </c>
      <c r="F1024" s="37">
        <f t="shared" si="106"/>
        <v>59196.375</v>
      </c>
      <c r="G1024" s="37">
        <f t="shared" si="107"/>
        <v>35517.824999999997</v>
      </c>
      <c r="H1024" s="36" cm="1">
        <f t="array" ref="H1024">SUMPRODUCT((C1024&gt;tier_floor)*((C1024-tier_floor)*step)*margin_rate)</f>
        <v>24392.824999999997</v>
      </c>
      <c r="I1024" s="37">
        <f t="shared" si="108"/>
        <v>11125</v>
      </c>
      <c r="J1024" s="38">
        <f t="shared" si="109"/>
        <v>2025</v>
      </c>
      <c r="K1024" s="128">
        <f>(1+target)^($J1024-(MIN(tbl_rep_mon[year])))</f>
        <v>1.7490062499999994</v>
      </c>
      <c r="L1024" s="35">
        <f t="shared" si="110"/>
        <v>0.42</v>
      </c>
      <c r="M1024" s="37">
        <f t="shared" si="111"/>
        <v>24862.477500000001</v>
      </c>
    </row>
    <row r="1025" spans="1:13" x14ac:dyDescent="0.4">
      <c r="A1025" t="s">
        <v>23</v>
      </c>
      <c r="B1025">
        <v>1</v>
      </c>
      <c r="C1025" s="36">
        <v>162244.54999999999</v>
      </c>
      <c r="D1025" s="1">
        <v>45748</v>
      </c>
      <c r="E1025" s="35">
        <f t="shared" si="105"/>
        <v>0.6</v>
      </c>
      <c r="F1025" s="37">
        <f t="shared" si="106"/>
        <v>81122.274999999994</v>
      </c>
      <c r="G1025" s="37">
        <f t="shared" si="107"/>
        <v>48673.364999999998</v>
      </c>
      <c r="H1025" s="36" cm="1">
        <f t="array" ref="H1025">SUMPRODUCT((C1025&gt;tier_floor)*((C1025-tier_floor)*step)*margin_rate)</f>
        <v>37548.364999999998</v>
      </c>
      <c r="I1025" s="37">
        <f t="shared" si="108"/>
        <v>11125</v>
      </c>
      <c r="J1025" s="38">
        <f t="shared" si="109"/>
        <v>2025</v>
      </c>
      <c r="K1025" s="128">
        <f>(1+target)^($J1025-(MIN(tbl_rep_mon[year])))</f>
        <v>1.7490062499999994</v>
      </c>
      <c r="L1025" s="35">
        <f t="shared" si="110"/>
        <v>0.51</v>
      </c>
      <c r="M1025" s="37">
        <f t="shared" si="111"/>
        <v>41372.360249999998</v>
      </c>
    </row>
    <row r="1026" spans="1:13" x14ac:dyDescent="0.4">
      <c r="A1026" t="s">
        <v>24</v>
      </c>
      <c r="B1026">
        <v>3</v>
      </c>
      <c r="C1026" s="36">
        <v>60937.49</v>
      </c>
      <c r="D1026" s="1">
        <v>45748</v>
      </c>
      <c r="E1026" s="35">
        <f t="shared" ref="E1026:E1089" si="112">_xlfn.XLOOKUP(C1026,tier_floor,tier_rate,,-1)</f>
        <v>0.42</v>
      </c>
      <c r="F1026" s="37">
        <f t="shared" ref="F1026:F1089" si="113">C1026*margin_rate</f>
        <v>30468.744999999999</v>
      </c>
      <c r="G1026" s="37">
        <f t="shared" ref="G1026:G1089" si="114">F1026*E1026</f>
        <v>12796.872899999998</v>
      </c>
      <c r="H1026" s="36" cm="1">
        <f t="array" ref="H1026">SUMPRODUCT((C1026&gt;tier_floor)*((C1026-tier_floor)*step)*margin_rate)</f>
        <v>9546.8729000000003</v>
      </c>
      <c r="I1026" s="37">
        <f t="shared" ref="I1026:I1089" si="115">G1026-H1026</f>
        <v>3249.9999999999982</v>
      </c>
      <c r="J1026" s="38">
        <f t="shared" ref="J1026:J1089" si="116">YEAR(D1026)</f>
        <v>2025</v>
      </c>
      <c r="K1026" s="128">
        <f>(1+target)^($J1026-(MIN(tbl_rep_mon[year])))</f>
        <v>1.7490062499999994</v>
      </c>
      <c r="L1026" s="35">
        <f t="shared" ref="L1026:L1089" si="117">_xlfn.XLOOKUP(($C1026/$K1026),tier_floor,tier_rate,,-1)</f>
        <v>0.33</v>
      </c>
      <c r="M1026" s="37">
        <f t="shared" ref="M1026:M1089" si="118">$F1026*$L1026</f>
        <v>10054.68585</v>
      </c>
    </row>
    <row r="1027" spans="1:13" x14ac:dyDescent="0.4">
      <c r="A1027" t="s">
        <v>29</v>
      </c>
      <c r="B1027">
        <v>1</v>
      </c>
      <c r="C1027" s="36">
        <v>146701.57999999999</v>
      </c>
      <c r="D1027" s="1">
        <v>45748</v>
      </c>
      <c r="E1027" s="35">
        <f t="shared" si="112"/>
        <v>0.6</v>
      </c>
      <c r="F1027" s="37">
        <f t="shared" si="113"/>
        <v>73350.789999999994</v>
      </c>
      <c r="G1027" s="37">
        <f t="shared" si="114"/>
        <v>44010.473999999995</v>
      </c>
      <c r="H1027" s="36" cm="1">
        <f t="array" ref="H1027">SUMPRODUCT((C1027&gt;tier_floor)*((C1027-tier_floor)*step)*margin_rate)</f>
        <v>32885.473999999995</v>
      </c>
      <c r="I1027" s="37">
        <f t="shared" si="115"/>
        <v>11125</v>
      </c>
      <c r="J1027" s="38">
        <f t="shared" si="116"/>
        <v>2025</v>
      </c>
      <c r="K1027" s="128">
        <f>(1+target)^($J1027-(MIN(tbl_rep_mon[year])))</f>
        <v>1.7490062499999994</v>
      </c>
      <c r="L1027" s="35">
        <f t="shared" si="117"/>
        <v>0.51</v>
      </c>
      <c r="M1027" s="37">
        <f t="shared" si="118"/>
        <v>37408.902900000001</v>
      </c>
    </row>
    <row r="1028" spans="1:13" x14ac:dyDescent="0.4">
      <c r="A1028" t="s">
        <v>32</v>
      </c>
      <c r="B1028">
        <v>4</v>
      </c>
      <c r="C1028" s="36">
        <v>91184.01</v>
      </c>
      <c r="D1028" s="1">
        <v>45748</v>
      </c>
      <c r="E1028" s="35">
        <f t="shared" si="112"/>
        <v>0.51</v>
      </c>
      <c r="F1028" s="37">
        <f t="shared" si="113"/>
        <v>45592.004999999997</v>
      </c>
      <c r="G1028" s="37">
        <f t="shared" si="114"/>
        <v>23251.922549999999</v>
      </c>
      <c r="H1028" s="36" cm="1">
        <f t="array" ref="H1028">SUMPRODUCT((C1028&gt;tier_floor)*((C1028-tier_floor)*step)*margin_rate)</f>
        <v>16626.922549999996</v>
      </c>
      <c r="I1028" s="37">
        <f t="shared" si="115"/>
        <v>6625.0000000000036</v>
      </c>
      <c r="J1028" s="38">
        <f t="shared" si="116"/>
        <v>2025</v>
      </c>
      <c r="K1028" s="128">
        <f>(1+target)^($J1028-(MIN(tbl_rep_mon[year])))</f>
        <v>1.7490062499999994</v>
      </c>
      <c r="L1028" s="35">
        <f t="shared" si="117"/>
        <v>0.42</v>
      </c>
      <c r="M1028" s="37">
        <f t="shared" si="118"/>
        <v>19148.642099999997</v>
      </c>
    </row>
    <row r="1029" spans="1:13" x14ac:dyDescent="0.4">
      <c r="A1029" t="s">
        <v>33</v>
      </c>
      <c r="B1029">
        <v>3</v>
      </c>
      <c r="C1029" s="36">
        <v>71358.44</v>
      </c>
      <c r="D1029" s="1">
        <v>45748</v>
      </c>
      <c r="E1029" s="35">
        <f t="shared" si="112"/>
        <v>0.42</v>
      </c>
      <c r="F1029" s="37">
        <f t="shared" si="113"/>
        <v>35679.22</v>
      </c>
      <c r="G1029" s="37">
        <f t="shared" si="114"/>
        <v>14985.2724</v>
      </c>
      <c r="H1029" s="36" cm="1">
        <f t="array" ref="H1029">SUMPRODUCT((C1029&gt;tier_floor)*((C1029-tier_floor)*step)*margin_rate)</f>
        <v>11735.272400000002</v>
      </c>
      <c r="I1029" s="37">
        <f t="shared" si="115"/>
        <v>3249.9999999999982</v>
      </c>
      <c r="J1029" s="38">
        <f t="shared" si="116"/>
        <v>2025</v>
      </c>
      <c r="K1029" s="128">
        <f>(1+target)^($J1029-(MIN(tbl_rep_mon[year])))</f>
        <v>1.7490062499999994</v>
      </c>
      <c r="L1029" s="35">
        <f t="shared" si="117"/>
        <v>0.33</v>
      </c>
      <c r="M1029" s="37">
        <f t="shared" si="118"/>
        <v>11774.142600000001</v>
      </c>
    </row>
    <row r="1030" spans="1:13" x14ac:dyDescent="0.4">
      <c r="A1030" t="s">
        <v>34</v>
      </c>
      <c r="B1030">
        <v>4</v>
      </c>
      <c r="C1030" s="36">
        <v>83248.17</v>
      </c>
      <c r="D1030" s="1">
        <v>45748</v>
      </c>
      <c r="E1030" s="35">
        <f t="shared" si="112"/>
        <v>0.51</v>
      </c>
      <c r="F1030" s="37">
        <f t="shared" si="113"/>
        <v>41624.084999999999</v>
      </c>
      <c r="G1030" s="37">
        <f t="shared" si="114"/>
        <v>21228.283350000002</v>
      </c>
      <c r="H1030" s="36" cm="1">
        <f t="array" ref="H1030">SUMPRODUCT((C1030&gt;tier_floor)*((C1030-tier_floor)*step)*margin_rate)</f>
        <v>14603.283349999998</v>
      </c>
      <c r="I1030" s="37">
        <f t="shared" si="115"/>
        <v>6625.0000000000036</v>
      </c>
      <c r="J1030" s="38">
        <f t="shared" si="116"/>
        <v>2025</v>
      </c>
      <c r="K1030" s="128">
        <f>(1+target)^($J1030-(MIN(tbl_rep_mon[year])))</f>
        <v>1.7490062499999994</v>
      </c>
      <c r="L1030" s="35">
        <f t="shared" si="117"/>
        <v>0.33</v>
      </c>
      <c r="M1030" s="37">
        <f t="shared" si="118"/>
        <v>13735.948050000001</v>
      </c>
    </row>
    <row r="1031" spans="1:13" x14ac:dyDescent="0.4">
      <c r="A1031" t="s">
        <v>35</v>
      </c>
      <c r="B1031">
        <v>4</v>
      </c>
      <c r="C1031" s="36">
        <v>71235.44</v>
      </c>
      <c r="D1031" s="1">
        <v>45748</v>
      </c>
      <c r="E1031" s="35">
        <f t="shared" si="112"/>
        <v>0.42</v>
      </c>
      <c r="F1031" s="37">
        <f t="shared" si="113"/>
        <v>35617.72</v>
      </c>
      <c r="G1031" s="37">
        <f t="shared" si="114"/>
        <v>14959.4424</v>
      </c>
      <c r="H1031" s="36" cm="1">
        <f t="array" ref="H1031">SUMPRODUCT((C1031&gt;tier_floor)*((C1031-tier_floor)*step)*margin_rate)</f>
        <v>11709.4424</v>
      </c>
      <c r="I1031" s="37">
        <f t="shared" si="115"/>
        <v>3250</v>
      </c>
      <c r="J1031" s="38">
        <f t="shared" si="116"/>
        <v>2025</v>
      </c>
      <c r="K1031" s="128">
        <f>(1+target)^($J1031-(MIN(tbl_rep_mon[year])))</f>
        <v>1.7490062499999994</v>
      </c>
      <c r="L1031" s="35">
        <f t="shared" si="117"/>
        <v>0.33</v>
      </c>
      <c r="M1031" s="37">
        <f t="shared" si="118"/>
        <v>11753.847600000001</v>
      </c>
    </row>
    <row r="1032" spans="1:13" x14ac:dyDescent="0.4">
      <c r="A1032" t="s">
        <v>37</v>
      </c>
      <c r="B1032">
        <v>4</v>
      </c>
      <c r="C1032" s="36">
        <v>95217.94</v>
      </c>
      <c r="D1032" s="1">
        <v>45748</v>
      </c>
      <c r="E1032" s="35">
        <f t="shared" si="112"/>
        <v>0.51</v>
      </c>
      <c r="F1032" s="37">
        <f t="shared" si="113"/>
        <v>47608.97</v>
      </c>
      <c r="G1032" s="37">
        <f t="shared" si="114"/>
        <v>24280.574700000001</v>
      </c>
      <c r="H1032" s="36" cm="1">
        <f t="array" ref="H1032">SUMPRODUCT((C1032&gt;tier_floor)*((C1032-tier_floor)*step)*margin_rate)</f>
        <v>17655.574700000001</v>
      </c>
      <c r="I1032" s="37">
        <f t="shared" si="115"/>
        <v>6625</v>
      </c>
      <c r="J1032" s="38">
        <f t="shared" si="116"/>
        <v>2025</v>
      </c>
      <c r="K1032" s="128">
        <f>(1+target)^($J1032-(MIN(tbl_rep_mon[year])))</f>
        <v>1.7490062499999994</v>
      </c>
      <c r="L1032" s="35">
        <f t="shared" si="117"/>
        <v>0.42</v>
      </c>
      <c r="M1032" s="37">
        <f t="shared" si="118"/>
        <v>19995.767400000001</v>
      </c>
    </row>
    <row r="1033" spans="1:13" x14ac:dyDescent="0.4">
      <c r="A1033" t="s">
        <v>38</v>
      </c>
      <c r="B1033">
        <v>2</v>
      </c>
      <c r="C1033" s="36">
        <v>97146.62</v>
      </c>
      <c r="D1033" s="1">
        <v>45748</v>
      </c>
      <c r="E1033" s="35">
        <f t="shared" si="112"/>
        <v>0.51</v>
      </c>
      <c r="F1033" s="37">
        <f t="shared" si="113"/>
        <v>48573.31</v>
      </c>
      <c r="G1033" s="37">
        <f t="shared" si="114"/>
        <v>24772.3881</v>
      </c>
      <c r="H1033" s="36" cm="1">
        <f t="array" ref="H1033">SUMPRODUCT((C1033&gt;tier_floor)*((C1033-tier_floor)*step)*margin_rate)</f>
        <v>18147.388099999996</v>
      </c>
      <c r="I1033" s="37">
        <f t="shared" si="115"/>
        <v>6625.0000000000036</v>
      </c>
      <c r="J1033" s="38">
        <f t="shared" si="116"/>
        <v>2025</v>
      </c>
      <c r="K1033" s="128">
        <f>(1+target)^($J1033-(MIN(tbl_rep_mon[year])))</f>
        <v>1.7490062499999994</v>
      </c>
      <c r="L1033" s="35">
        <f t="shared" si="117"/>
        <v>0.42</v>
      </c>
      <c r="M1033" s="37">
        <f t="shared" si="118"/>
        <v>20400.790199999999</v>
      </c>
    </row>
    <row r="1034" spans="1:13" x14ac:dyDescent="0.4">
      <c r="A1034" t="s">
        <v>39</v>
      </c>
      <c r="B1034">
        <v>2</v>
      </c>
      <c r="C1034" s="36">
        <v>100645.36</v>
      </c>
      <c r="D1034" s="1">
        <v>45748</v>
      </c>
      <c r="E1034" s="35">
        <f t="shared" si="112"/>
        <v>0.6</v>
      </c>
      <c r="F1034" s="37">
        <f t="shared" si="113"/>
        <v>50322.68</v>
      </c>
      <c r="G1034" s="37">
        <f t="shared" si="114"/>
        <v>30193.608</v>
      </c>
      <c r="H1034" s="36" cm="1">
        <f t="array" ref="H1034">SUMPRODUCT((C1034&gt;tier_floor)*((C1034-tier_floor)*step)*margin_rate)</f>
        <v>19068.608</v>
      </c>
      <c r="I1034" s="37">
        <f t="shared" si="115"/>
        <v>11125</v>
      </c>
      <c r="J1034" s="38">
        <f t="shared" si="116"/>
        <v>2025</v>
      </c>
      <c r="K1034" s="128">
        <f>(1+target)^($J1034-(MIN(tbl_rep_mon[year])))</f>
        <v>1.7490062499999994</v>
      </c>
      <c r="L1034" s="35">
        <f t="shared" si="117"/>
        <v>0.42</v>
      </c>
      <c r="M1034" s="37">
        <f t="shared" si="118"/>
        <v>21135.525600000001</v>
      </c>
    </row>
    <row r="1035" spans="1:13" x14ac:dyDescent="0.4">
      <c r="A1035" t="s">
        <v>41</v>
      </c>
      <c r="B1035">
        <v>2</v>
      </c>
      <c r="C1035" s="36">
        <v>127441.8</v>
      </c>
      <c r="D1035" s="1">
        <v>45748</v>
      </c>
      <c r="E1035" s="35">
        <f t="shared" si="112"/>
        <v>0.6</v>
      </c>
      <c r="F1035" s="37">
        <f t="shared" si="113"/>
        <v>63720.9</v>
      </c>
      <c r="G1035" s="37">
        <f t="shared" si="114"/>
        <v>38232.54</v>
      </c>
      <c r="H1035" s="36" cm="1">
        <f t="array" ref="H1035">SUMPRODUCT((C1035&gt;tier_floor)*((C1035-tier_floor)*step)*margin_rate)</f>
        <v>27107.54</v>
      </c>
      <c r="I1035" s="37">
        <f t="shared" si="115"/>
        <v>11125</v>
      </c>
      <c r="J1035" s="38">
        <f t="shared" si="116"/>
        <v>2025</v>
      </c>
      <c r="K1035" s="128">
        <f>(1+target)^($J1035-(MIN(tbl_rep_mon[year])))</f>
        <v>1.7490062499999994</v>
      </c>
      <c r="L1035" s="35">
        <f t="shared" si="117"/>
        <v>0.42</v>
      </c>
      <c r="M1035" s="37">
        <f t="shared" si="118"/>
        <v>26762.777999999998</v>
      </c>
    </row>
    <row r="1036" spans="1:13" x14ac:dyDescent="0.4">
      <c r="A1036" t="s">
        <v>43</v>
      </c>
      <c r="B1036">
        <v>4</v>
      </c>
      <c r="C1036" s="36">
        <v>92123.98</v>
      </c>
      <c r="D1036" s="1">
        <v>45748</v>
      </c>
      <c r="E1036" s="35">
        <f t="shared" si="112"/>
        <v>0.51</v>
      </c>
      <c r="F1036" s="37">
        <f t="shared" si="113"/>
        <v>46061.99</v>
      </c>
      <c r="G1036" s="37">
        <f t="shared" si="114"/>
        <v>23491.6149</v>
      </c>
      <c r="H1036" s="36" cm="1">
        <f t="array" ref="H1036">SUMPRODUCT((C1036&gt;tier_floor)*((C1036-tier_floor)*step)*margin_rate)</f>
        <v>16866.614899999997</v>
      </c>
      <c r="I1036" s="37">
        <f t="shared" si="115"/>
        <v>6625.0000000000036</v>
      </c>
      <c r="J1036" s="38">
        <f t="shared" si="116"/>
        <v>2025</v>
      </c>
      <c r="K1036" s="128">
        <f>(1+target)^($J1036-(MIN(tbl_rep_mon[year])))</f>
        <v>1.7490062499999994</v>
      </c>
      <c r="L1036" s="35">
        <f t="shared" si="117"/>
        <v>0.42</v>
      </c>
      <c r="M1036" s="37">
        <f t="shared" si="118"/>
        <v>19346.035799999998</v>
      </c>
    </row>
    <row r="1037" spans="1:13" x14ac:dyDescent="0.4">
      <c r="A1037" t="s">
        <v>44</v>
      </c>
      <c r="B1037">
        <v>3</v>
      </c>
      <c r="C1037" s="36">
        <v>89978.19</v>
      </c>
      <c r="D1037" s="1">
        <v>45748</v>
      </c>
      <c r="E1037" s="35">
        <f t="shared" si="112"/>
        <v>0.51</v>
      </c>
      <c r="F1037" s="37">
        <f t="shared" si="113"/>
        <v>44989.095000000001</v>
      </c>
      <c r="G1037" s="37">
        <f t="shared" si="114"/>
        <v>22944.438450000001</v>
      </c>
      <c r="H1037" s="36" cm="1">
        <f t="array" ref="H1037">SUMPRODUCT((C1037&gt;tier_floor)*((C1037-tier_floor)*step)*margin_rate)</f>
        <v>16319.43845</v>
      </c>
      <c r="I1037" s="37">
        <f t="shared" si="115"/>
        <v>6625.0000000000018</v>
      </c>
      <c r="J1037" s="38">
        <f t="shared" si="116"/>
        <v>2025</v>
      </c>
      <c r="K1037" s="128">
        <f>(1+target)^($J1037-(MIN(tbl_rep_mon[year])))</f>
        <v>1.7490062499999994</v>
      </c>
      <c r="L1037" s="35">
        <f t="shared" si="117"/>
        <v>0.42</v>
      </c>
      <c r="M1037" s="37">
        <f t="shared" si="118"/>
        <v>18895.419900000001</v>
      </c>
    </row>
    <row r="1038" spans="1:13" x14ac:dyDescent="0.4">
      <c r="A1038" t="s">
        <v>45</v>
      </c>
      <c r="B1038">
        <v>3</v>
      </c>
      <c r="C1038" s="36">
        <v>91017.86</v>
      </c>
      <c r="D1038" s="1">
        <v>45748</v>
      </c>
      <c r="E1038" s="35">
        <f t="shared" si="112"/>
        <v>0.51</v>
      </c>
      <c r="F1038" s="37">
        <f t="shared" si="113"/>
        <v>45508.93</v>
      </c>
      <c r="G1038" s="37">
        <f t="shared" si="114"/>
        <v>23209.5543</v>
      </c>
      <c r="H1038" s="36" cm="1">
        <f t="array" ref="H1038">SUMPRODUCT((C1038&gt;tier_floor)*((C1038-tier_floor)*step)*margin_rate)</f>
        <v>16584.5543</v>
      </c>
      <c r="I1038" s="37">
        <f t="shared" si="115"/>
        <v>6625</v>
      </c>
      <c r="J1038" s="38">
        <f t="shared" si="116"/>
        <v>2025</v>
      </c>
      <c r="K1038" s="128">
        <f>(1+target)^($J1038-(MIN(tbl_rep_mon[year])))</f>
        <v>1.7490062499999994</v>
      </c>
      <c r="L1038" s="35">
        <f t="shared" si="117"/>
        <v>0.42</v>
      </c>
      <c r="M1038" s="37">
        <f t="shared" si="118"/>
        <v>19113.750599999999</v>
      </c>
    </row>
    <row r="1039" spans="1:13" x14ac:dyDescent="0.4">
      <c r="A1039" t="s">
        <v>46</v>
      </c>
      <c r="B1039">
        <v>4</v>
      </c>
      <c r="C1039" s="36">
        <v>66120.649999999994</v>
      </c>
      <c r="D1039" s="1">
        <v>45748</v>
      </c>
      <c r="E1039" s="35">
        <f t="shared" si="112"/>
        <v>0.42</v>
      </c>
      <c r="F1039" s="37">
        <f t="shared" si="113"/>
        <v>33060.324999999997</v>
      </c>
      <c r="G1039" s="37">
        <f t="shared" si="114"/>
        <v>13885.336499999998</v>
      </c>
      <c r="H1039" s="36" cm="1">
        <f t="array" ref="H1039">SUMPRODUCT((C1039&gt;tier_floor)*((C1039-tier_floor)*step)*margin_rate)</f>
        <v>10635.336499999999</v>
      </c>
      <c r="I1039" s="37">
        <f t="shared" si="115"/>
        <v>3249.9999999999982</v>
      </c>
      <c r="J1039" s="38">
        <f t="shared" si="116"/>
        <v>2025</v>
      </c>
      <c r="K1039" s="128">
        <f>(1+target)^($J1039-(MIN(tbl_rep_mon[year])))</f>
        <v>1.7490062499999994</v>
      </c>
      <c r="L1039" s="35">
        <f t="shared" si="117"/>
        <v>0.33</v>
      </c>
      <c r="M1039" s="37">
        <f t="shared" si="118"/>
        <v>10909.90725</v>
      </c>
    </row>
    <row r="1040" spans="1:13" x14ac:dyDescent="0.4">
      <c r="A1040" t="s">
        <v>47</v>
      </c>
      <c r="B1040">
        <v>2</v>
      </c>
      <c r="C1040" s="36">
        <v>108584.55</v>
      </c>
      <c r="D1040" s="1">
        <v>45748</v>
      </c>
      <c r="E1040" s="35">
        <f t="shared" si="112"/>
        <v>0.6</v>
      </c>
      <c r="F1040" s="37">
        <f t="shared" si="113"/>
        <v>54292.275000000001</v>
      </c>
      <c r="G1040" s="37">
        <f t="shared" si="114"/>
        <v>32575.364999999998</v>
      </c>
      <c r="H1040" s="36" cm="1">
        <f t="array" ref="H1040">SUMPRODUCT((C1040&gt;tier_floor)*((C1040-tier_floor)*step)*margin_rate)</f>
        <v>21450.364999999998</v>
      </c>
      <c r="I1040" s="37">
        <f t="shared" si="115"/>
        <v>11125</v>
      </c>
      <c r="J1040" s="38">
        <f t="shared" si="116"/>
        <v>2025</v>
      </c>
      <c r="K1040" s="128">
        <f>(1+target)^($J1040-(MIN(tbl_rep_mon[year])))</f>
        <v>1.7490062499999994</v>
      </c>
      <c r="L1040" s="35">
        <f t="shared" si="117"/>
        <v>0.42</v>
      </c>
      <c r="M1040" s="37">
        <f t="shared" si="118"/>
        <v>22802.755499999999</v>
      </c>
    </row>
    <row r="1041" spans="1:13" x14ac:dyDescent="0.4">
      <c r="A1041" t="s">
        <v>48</v>
      </c>
      <c r="B1041">
        <v>4</v>
      </c>
      <c r="C1041" s="36">
        <v>81953.17</v>
      </c>
      <c r="D1041" s="1">
        <v>45748</v>
      </c>
      <c r="E1041" s="35">
        <f t="shared" si="112"/>
        <v>0.51</v>
      </c>
      <c r="F1041" s="37">
        <f t="shared" si="113"/>
        <v>40976.584999999999</v>
      </c>
      <c r="G1041" s="37">
        <f t="shared" si="114"/>
        <v>20898.058349999999</v>
      </c>
      <c r="H1041" s="36" cm="1">
        <f t="array" ref="H1041">SUMPRODUCT((C1041&gt;tier_floor)*((C1041-tier_floor)*step)*margin_rate)</f>
        <v>14273.058349999999</v>
      </c>
      <c r="I1041" s="37">
        <f t="shared" si="115"/>
        <v>6625</v>
      </c>
      <c r="J1041" s="38">
        <f t="shared" si="116"/>
        <v>2025</v>
      </c>
      <c r="K1041" s="128">
        <f>(1+target)^($J1041-(MIN(tbl_rep_mon[year])))</f>
        <v>1.7490062499999994</v>
      </c>
      <c r="L1041" s="35">
        <f t="shared" si="117"/>
        <v>0.33</v>
      </c>
      <c r="M1041" s="37">
        <f t="shared" si="118"/>
        <v>13522.27305</v>
      </c>
    </row>
    <row r="1042" spans="1:13" x14ac:dyDescent="0.4">
      <c r="A1042" t="s">
        <v>6</v>
      </c>
      <c r="B1042">
        <v>2</v>
      </c>
      <c r="C1042" s="36">
        <v>75373.25</v>
      </c>
      <c r="D1042" s="1">
        <v>45778</v>
      </c>
      <c r="E1042" s="35">
        <f t="shared" si="112"/>
        <v>0.51</v>
      </c>
      <c r="F1042" s="37">
        <f t="shared" si="113"/>
        <v>37686.625</v>
      </c>
      <c r="G1042" s="37">
        <f t="shared" si="114"/>
        <v>19220.178749999999</v>
      </c>
      <c r="H1042" s="36" cm="1">
        <f t="array" ref="H1042">SUMPRODUCT((C1042&gt;tier_floor)*((C1042-tier_floor)*step)*margin_rate)</f>
        <v>12595.178749999999</v>
      </c>
      <c r="I1042" s="37">
        <f t="shared" si="115"/>
        <v>6625</v>
      </c>
      <c r="J1042" s="38">
        <f t="shared" si="116"/>
        <v>2025</v>
      </c>
      <c r="K1042" s="128">
        <f>(1+target)^($J1042-(MIN(tbl_rep_mon[year])))</f>
        <v>1.7490062499999994</v>
      </c>
      <c r="L1042" s="35">
        <f t="shared" si="117"/>
        <v>0.33</v>
      </c>
      <c r="M1042" s="37">
        <f t="shared" si="118"/>
        <v>12436.58625</v>
      </c>
    </row>
    <row r="1043" spans="1:13" x14ac:dyDescent="0.4">
      <c r="A1043" t="s">
        <v>15</v>
      </c>
      <c r="B1043">
        <v>3</v>
      </c>
      <c r="C1043" s="36">
        <v>111618.05</v>
      </c>
      <c r="D1043" s="1">
        <v>45778</v>
      </c>
      <c r="E1043" s="35">
        <f t="shared" si="112"/>
        <v>0.6</v>
      </c>
      <c r="F1043" s="37">
        <f t="shared" si="113"/>
        <v>55809.025000000001</v>
      </c>
      <c r="G1043" s="37">
        <f t="shared" si="114"/>
        <v>33485.415000000001</v>
      </c>
      <c r="H1043" s="36" cm="1">
        <f t="array" ref="H1043">SUMPRODUCT((C1043&gt;tier_floor)*((C1043-tier_floor)*step)*margin_rate)</f>
        <v>22360.414999999997</v>
      </c>
      <c r="I1043" s="37">
        <f t="shared" si="115"/>
        <v>11125.000000000004</v>
      </c>
      <c r="J1043" s="38">
        <f t="shared" si="116"/>
        <v>2025</v>
      </c>
      <c r="K1043" s="128">
        <f>(1+target)^($J1043-(MIN(tbl_rep_mon[year])))</f>
        <v>1.7490062499999994</v>
      </c>
      <c r="L1043" s="35">
        <f t="shared" si="117"/>
        <v>0.42</v>
      </c>
      <c r="M1043" s="37">
        <f t="shared" si="118"/>
        <v>23439.790499999999</v>
      </c>
    </row>
    <row r="1044" spans="1:13" x14ac:dyDescent="0.4">
      <c r="A1044" t="s">
        <v>19</v>
      </c>
      <c r="B1044">
        <v>4</v>
      </c>
      <c r="C1044" s="36">
        <v>102088.76</v>
      </c>
      <c r="D1044" s="1">
        <v>45778</v>
      </c>
      <c r="E1044" s="35">
        <f t="shared" si="112"/>
        <v>0.6</v>
      </c>
      <c r="F1044" s="37">
        <f t="shared" si="113"/>
        <v>51044.38</v>
      </c>
      <c r="G1044" s="37">
        <f t="shared" si="114"/>
        <v>30626.627999999997</v>
      </c>
      <c r="H1044" s="36" cm="1">
        <f t="array" ref="H1044">SUMPRODUCT((C1044&gt;tier_floor)*((C1044-tier_floor)*step)*margin_rate)</f>
        <v>19501.628000000001</v>
      </c>
      <c r="I1044" s="37">
        <f t="shared" si="115"/>
        <v>11124.999999999996</v>
      </c>
      <c r="J1044" s="38">
        <f t="shared" si="116"/>
        <v>2025</v>
      </c>
      <c r="K1044" s="128">
        <f>(1+target)^($J1044-(MIN(tbl_rep_mon[year])))</f>
        <v>1.7490062499999994</v>
      </c>
      <c r="L1044" s="35">
        <f t="shared" si="117"/>
        <v>0.42</v>
      </c>
      <c r="M1044" s="37">
        <f t="shared" si="118"/>
        <v>21438.639599999999</v>
      </c>
    </row>
    <row r="1045" spans="1:13" x14ac:dyDescent="0.4">
      <c r="A1045" t="s">
        <v>23</v>
      </c>
      <c r="B1045">
        <v>1</v>
      </c>
      <c r="C1045" s="36">
        <v>170027.8</v>
      </c>
      <c r="D1045" s="1">
        <v>45778</v>
      </c>
      <c r="E1045" s="35">
        <f t="shared" si="112"/>
        <v>0.6</v>
      </c>
      <c r="F1045" s="37">
        <f t="shared" si="113"/>
        <v>85013.9</v>
      </c>
      <c r="G1045" s="37">
        <f t="shared" si="114"/>
        <v>51008.34</v>
      </c>
      <c r="H1045" s="36" cm="1">
        <f t="array" ref="H1045">SUMPRODUCT((C1045&gt;tier_floor)*((C1045-tier_floor)*step)*margin_rate)</f>
        <v>39883.339999999989</v>
      </c>
      <c r="I1045" s="37">
        <f t="shared" si="115"/>
        <v>11125.000000000007</v>
      </c>
      <c r="J1045" s="38">
        <f t="shared" si="116"/>
        <v>2025</v>
      </c>
      <c r="K1045" s="128">
        <f>(1+target)^($J1045-(MIN(tbl_rep_mon[year])))</f>
        <v>1.7490062499999994</v>
      </c>
      <c r="L1045" s="35">
        <f t="shared" si="117"/>
        <v>0.51</v>
      </c>
      <c r="M1045" s="37">
        <f t="shared" si="118"/>
        <v>43357.089</v>
      </c>
    </row>
    <row r="1046" spans="1:13" x14ac:dyDescent="0.4">
      <c r="A1046" t="s">
        <v>24</v>
      </c>
      <c r="B1046">
        <v>3</v>
      </c>
      <c r="C1046" s="36">
        <v>73907.820000000007</v>
      </c>
      <c r="D1046" s="1">
        <v>45778</v>
      </c>
      <c r="E1046" s="35">
        <f t="shared" si="112"/>
        <v>0.42</v>
      </c>
      <c r="F1046" s="37">
        <f t="shared" si="113"/>
        <v>36953.910000000003</v>
      </c>
      <c r="G1046" s="37">
        <f t="shared" si="114"/>
        <v>15520.6422</v>
      </c>
      <c r="H1046" s="36" cm="1">
        <f t="array" ref="H1046">SUMPRODUCT((C1046&gt;tier_floor)*((C1046-tier_floor)*step)*margin_rate)</f>
        <v>12270.6422</v>
      </c>
      <c r="I1046" s="37">
        <f t="shared" si="115"/>
        <v>3250</v>
      </c>
      <c r="J1046" s="38">
        <f t="shared" si="116"/>
        <v>2025</v>
      </c>
      <c r="K1046" s="128">
        <f>(1+target)^($J1046-(MIN(tbl_rep_mon[year])))</f>
        <v>1.7490062499999994</v>
      </c>
      <c r="L1046" s="35">
        <f t="shared" si="117"/>
        <v>0.33</v>
      </c>
      <c r="M1046" s="37">
        <f t="shared" si="118"/>
        <v>12194.790300000002</v>
      </c>
    </row>
    <row r="1047" spans="1:13" x14ac:dyDescent="0.4">
      <c r="A1047" t="s">
        <v>29</v>
      </c>
      <c r="B1047">
        <v>1</v>
      </c>
      <c r="C1047" s="36">
        <v>173011.62</v>
      </c>
      <c r="D1047" s="1">
        <v>45778</v>
      </c>
      <c r="E1047" s="35">
        <f t="shared" si="112"/>
        <v>0.6</v>
      </c>
      <c r="F1047" s="37">
        <f t="shared" si="113"/>
        <v>86505.81</v>
      </c>
      <c r="G1047" s="37">
        <f t="shared" si="114"/>
        <v>51903.485999999997</v>
      </c>
      <c r="H1047" s="36" cm="1">
        <f t="array" ref="H1047">SUMPRODUCT((C1047&gt;tier_floor)*((C1047-tier_floor)*step)*margin_rate)</f>
        <v>40778.485999999997</v>
      </c>
      <c r="I1047" s="37">
        <f t="shared" si="115"/>
        <v>11125</v>
      </c>
      <c r="J1047" s="38">
        <f t="shared" si="116"/>
        <v>2025</v>
      </c>
      <c r="K1047" s="128">
        <f>(1+target)^($J1047-(MIN(tbl_rep_mon[year])))</f>
        <v>1.7490062499999994</v>
      </c>
      <c r="L1047" s="35">
        <f t="shared" si="117"/>
        <v>0.51</v>
      </c>
      <c r="M1047" s="37">
        <f t="shared" si="118"/>
        <v>44117.963100000001</v>
      </c>
    </row>
    <row r="1048" spans="1:13" x14ac:dyDescent="0.4">
      <c r="A1048" t="s">
        <v>32</v>
      </c>
      <c r="B1048">
        <v>4</v>
      </c>
      <c r="C1048" s="36">
        <v>113718.66</v>
      </c>
      <c r="D1048" s="1">
        <v>45778</v>
      </c>
      <c r="E1048" s="35">
        <f t="shared" si="112"/>
        <v>0.6</v>
      </c>
      <c r="F1048" s="37">
        <f t="shared" si="113"/>
        <v>56859.33</v>
      </c>
      <c r="G1048" s="37">
        <f t="shared" si="114"/>
        <v>34115.597999999998</v>
      </c>
      <c r="H1048" s="36" cm="1">
        <f t="array" ref="H1048">SUMPRODUCT((C1048&gt;tier_floor)*((C1048-tier_floor)*step)*margin_rate)</f>
        <v>22990.598000000002</v>
      </c>
      <c r="I1048" s="37">
        <f t="shared" si="115"/>
        <v>11124.999999999996</v>
      </c>
      <c r="J1048" s="38">
        <f t="shared" si="116"/>
        <v>2025</v>
      </c>
      <c r="K1048" s="128">
        <f>(1+target)^($J1048-(MIN(tbl_rep_mon[year])))</f>
        <v>1.7490062499999994</v>
      </c>
      <c r="L1048" s="35">
        <f t="shared" si="117"/>
        <v>0.42</v>
      </c>
      <c r="M1048" s="37">
        <f t="shared" si="118"/>
        <v>23880.918600000001</v>
      </c>
    </row>
    <row r="1049" spans="1:13" x14ac:dyDescent="0.4">
      <c r="A1049" t="s">
        <v>33</v>
      </c>
      <c r="B1049">
        <v>3</v>
      </c>
      <c r="C1049" s="36">
        <v>80054.87</v>
      </c>
      <c r="D1049" s="1">
        <v>45778</v>
      </c>
      <c r="E1049" s="35">
        <f t="shared" si="112"/>
        <v>0.51</v>
      </c>
      <c r="F1049" s="37">
        <f t="shared" si="113"/>
        <v>40027.434999999998</v>
      </c>
      <c r="G1049" s="37">
        <f t="shared" si="114"/>
        <v>20413.991849999999</v>
      </c>
      <c r="H1049" s="36" cm="1">
        <f t="array" ref="H1049">SUMPRODUCT((C1049&gt;tier_floor)*((C1049-tier_floor)*step)*margin_rate)</f>
        <v>13788.991849999999</v>
      </c>
      <c r="I1049" s="37">
        <f t="shared" si="115"/>
        <v>6625</v>
      </c>
      <c r="J1049" s="38">
        <f t="shared" si="116"/>
        <v>2025</v>
      </c>
      <c r="K1049" s="128">
        <f>(1+target)^($J1049-(MIN(tbl_rep_mon[year])))</f>
        <v>1.7490062499999994</v>
      </c>
      <c r="L1049" s="35">
        <f t="shared" si="117"/>
        <v>0.33</v>
      </c>
      <c r="M1049" s="37">
        <f t="shared" si="118"/>
        <v>13209.053550000001</v>
      </c>
    </row>
    <row r="1050" spans="1:13" x14ac:dyDescent="0.4">
      <c r="A1050" t="s">
        <v>34</v>
      </c>
      <c r="B1050">
        <v>4</v>
      </c>
      <c r="C1050" s="36">
        <v>82776.929999999993</v>
      </c>
      <c r="D1050" s="1">
        <v>45778</v>
      </c>
      <c r="E1050" s="35">
        <f t="shared" si="112"/>
        <v>0.51</v>
      </c>
      <c r="F1050" s="37">
        <f t="shared" si="113"/>
        <v>41388.464999999997</v>
      </c>
      <c r="G1050" s="37">
        <f t="shared" si="114"/>
        <v>21108.117149999998</v>
      </c>
      <c r="H1050" s="36" cm="1">
        <f t="array" ref="H1050">SUMPRODUCT((C1050&gt;tier_floor)*((C1050-tier_floor)*step)*margin_rate)</f>
        <v>14483.117149999998</v>
      </c>
      <c r="I1050" s="37">
        <f t="shared" si="115"/>
        <v>6625</v>
      </c>
      <c r="J1050" s="38">
        <f t="shared" si="116"/>
        <v>2025</v>
      </c>
      <c r="K1050" s="128">
        <f>(1+target)^($J1050-(MIN(tbl_rep_mon[year])))</f>
        <v>1.7490062499999994</v>
      </c>
      <c r="L1050" s="35">
        <f t="shared" si="117"/>
        <v>0.33</v>
      </c>
      <c r="M1050" s="37">
        <f t="shared" si="118"/>
        <v>13658.193449999999</v>
      </c>
    </row>
    <row r="1051" spans="1:13" x14ac:dyDescent="0.4">
      <c r="A1051" t="s">
        <v>35</v>
      </c>
      <c r="B1051">
        <v>4</v>
      </c>
      <c r="C1051" s="36">
        <v>90408.39</v>
      </c>
      <c r="D1051" s="1">
        <v>45778</v>
      </c>
      <c r="E1051" s="35">
        <f t="shared" si="112"/>
        <v>0.51</v>
      </c>
      <c r="F1051" s="37">
        <f t="shared" si="113"/>
        <v>45204.195</v>
      </c>
      <c r="G1051" s="37">
        <f t="shared" si="114"/>
        <v>23054.139449999999</v>
      </c>
      <c r="H1051" s="36" cm="1">
        <f t="array" ref="H1051">SUMPRODUCT((C1051&gt;tier_floor)*((C1051-tier_floor)*step)*margin_rate)</f>
        <v>16429.139449999999</v>
      </c>
      <c r="I1051" s="37">
        <f t="shared" si="115"/>
        <v>6625</v>
      </c>
      <c r="J1051" s="38">
        <f t="shared" si="116"/>
        <v>2025</v>
      </c>
      <c r="K1051" s="128">
        <f>(1+target)^($J1051-(MIN(tbl_rep_mon[year])))</f>
        <v>1.7490062499999994</v>
      </c>
      <c r="L1051" s="35">
        <f t="shared" si="117"/>
        <v>0.42</v>
      </c>
      <c r="M1051" s="37">
        <f t="shared" si="118"/>
        <v>18985.761899999998</v>
      </c>
    </row>
    <row r="1052" spans="1:13" x14ac:dyDescent="0.4">
      <c r="A1052" t="s">
        <v>37</v>
      </c>
      <c r="B1052">
        <v>4</v>
      </c>
      <c r="C1052" s="36">
        <v>117639.13</v>
      </c>
      <c r="D1052" s="1">
        <v>45778</v>
      </c>
      <c r="E1052" s="35">
        <f t="shared" si="112"/>
        <v>0.6</v>
      </c>
      <c r="F1052" s="37">
        <f t="shared" si="113"/>
        <v>58819.565000000002</v>
      </c>
      <c r="G1052" s="37">
        <f t="shared" si="114"/>
        <v>35291.739000000001</v>
      </c>
      <c r="H1052" s="36" cm="1">
        <f t="array" ref="H1052">SUMPRODUCT((C1052&gt;tier_floor)*((C1052-tier_floor)*step)*margin_rate)</f>
        <v>24166.739000000001</v>
      </c>
      <c r="I1052" s="37">
        <f t="shared" si="115"/>
        <v>11125</v>
      </c>
      <c r="J1052" s="38">
        <f t="shared" si="116"/>
        <v>2025</v>
      </c>
      <c r="K1052" s="128">
        <f>(1+target)^($J1052-(MIN(tbl_rep_mon[year])))</f>
        <v>1.7490062499999994</v>
      </c>
      <c r="L1052" s="35">
        <f t="shared" si="117"/>
        <v>0.42</v>
      </c>
      <c r="M1052" s="37">
        <f t="shared" si="118"/>
        <v>24704.2173</v>
      </c>
    </row>
    <row r="1053" spans="1:13" x14ac:dyDescent="0.4">
      <c r="A1053" t="s">
        <v>38</v>
      </c>
      <c r="B1053">
        <v>2</v>
      </c>
      <c r="C1053" s="36">
        <v>119702.84</v>
      </c>
      <c r="D1053" s="1">
        <v>45778</v>
      </c>
      <c r="E1053" s="35">
        <f t="shared" si="112"/>
        <v>0.6</v>
      </c>
      <c r="F1053" s="37">
        <f t="shared" si="113"/>
        <v>59851.42</v>
      </c>
      <c r="G1053" s="37">
        <f t="shared" si="114"/>
        <v>35910.851999999999</v>
      </c>
      <c r="H1053" s="36" cm="1">
        <f t="array" ref="H1053">SUMPRODUCT((C1053&gt;tier_floor)*((C1053-tier_floor)*step)*margin_rate)</f>
        <v>24785.851999999999</v>
      </c>
      <c r="I1053" s="37">
        <f t="shared" si="115"/>
        <v>11125</v>
      </c>
      <c r="J1053" s="38">
        <f t="shared" si="116"/>
        <v>2025</v>
      </c>
      <c r="K1053" s="128">
        <f>(1+target)^($J1053-(MIN(tbl_rep_mon[year])))</f>
        <v>1.7490062499999994</v>
      </c>
      <c r="L1053" s="35">
        <f t="shared" si="117"/>
        <v>0.42</v>
      </c>
      <c r="M1053" s="37">
        <f t="shared" si="118"/>
        <v>25137.596399999999</v>
      </c>
    </row>
    <row r="1054" spans="1:13" x14ac:dyDescent="0.4">
      <c r="A1054" t="s">
        <v>39</v>
      </c>
      <c r="B1054">
        <v>2</v>
      </c>
      <c r="C1054" s="36">
        <v>107921.07</v>
      </c>
      <c r="D1054" s="1">
        <v>45778</v>
      </c>
      <c r="E1054" s="35">
        <f t="shared" si="112"/>
        <v>0.6</v>
      </c>
      <c r="F1054" s="37">
        <f t="shared" si="113"/>
        <v>53960.535000000003</v>
      </c>
      <c r="G1054" s="37">
        <f t="shared" si="114"/>
        <v>32376.321</v>
      </c>
      <c r="H1054" s="36" cm="1">
        <f t="array" ref="H1054">SUMPRODUCT((C1054&gt;tier_floor)*((C1054-tier_floor)*step)*margin_rate)</f>
        <v>21251.321000000004</v>
      </c>
      <c r="I1054" s="37">
        <f t="shared" si="115"/>
        <v>11124.999999999996</v>
      </c>
      <c r="J1054" s="38">
        <f t="shared" si="116"/>
        <v>2025</v>
      </c>
      <c r="K1054" s="128">
        <f>(1+target)^($J1054-(MIN(tbl_rep_mon[year])))</f>
        <v>1.7490062499999994</v>
      </c>
      <c r="L1054" s="35">
        <f t="shared" si="117"/>
        <v>0.42</v>
      </c>
      <c r="M1054" s="37">
        <f t="shared" si="118"/>
        <v>22663.4247</v>
      </c>
    </row>
    <row r="1055" spans="1:13" x14ac:dyDescent="0.4">
      <c r="A1055" t="s">
        <v>41</v>
      </c>
      <c r="B1055">
        <v>2</v>
      </c>
      <c r="C1055" s="36">
        <v>16658.82</v>
      </c>
      <c r="D1055" s="1">
        <v>45778</v>
      </c>
      <c r="E1055" s="35">
        <f t="shared" si="112"/>
        <v>0.25</v>
      </c>
      <c r="F1055" s="37">
        <f t="shared" si="113"/>
        <v>8329.41</v>
      </c>
      <c r="G1055" s="37">
        <f t="shared" si="114"/>
        <v>2082.3525</v>
      </c>
      <c r="H1055" s="36" cm="1">
        <f t="array" ref="H1055">SUMPRODUCT((C1055&gt;tier_floor)*((C1055-tier_floor)*step)*margin_rate)</f>
        <v>2082.3525</v>
      </c>
      <c r="I1055" s="37">
        <f t="shared" si="115"/>
        <v>0</v>
      </c>
      <c r="J1055" s="38">
        <f t="shared" si="116"/>
        <v>2025</v>
      </c>
      <c r="K1055" s="128">
        <f>(1+target)^($J1055-(MIN(tbl_rep_mon[year])))</f>
        <v>1.7490062499999994</v>
      </c>
      <c r="L1055" s="35">
        <f t="shared" si="117"/>
        <v>0.25</v>
      </c>
      <c r="M1055" s="37">
        <f t="shared" si="118"/>
        <v>2082.3525</v>
      </c>
    </row>
    <row r="1056" spans="1:13" x14ac:dyDescent="0.4">
      <c r="A1056" t="s">
        <v>43</v>
      </c>
      <c r="B1056">
        <v>4</v>
      </c>
      <c r="C1056" s="36">
        <v>80486.87</v>
      </c>
      <c r="D1056" s="1">
        <v>45778</v>
      </c>
      <c r="E1056" s="35">
        <f t="shared" si="112"/>
        <v>0.51</v>
      </c>
      <c r="F1056" s="37">
        <f t="shared" si="113"/>
        <v>40243.434999999998</v>
      </c>
      <c r="G1056" s="37">
        <f t="shared" si="114"/>
        <v>20524.151849999998</v>
      </c>
      <c r="H1056" s="36" cm="1">
        <f t="array" ref="H1056">SUMPRODUCT((C1056&gt;tier_floor)*((C1056-tier_floor)*step)*margin_rate)</f>
        <v>13899.151849999998</v>
      </c>
      <c r="I1056" s="37">
        <f t="shared" si="115"/>
        <v>6625</v>
      </c>
      <c r="J1056" s="38">
        <f t="shared" si="116"/>
        <v>2025</v>
      </c>
      <c r="K1056" s="128">
        <f>(1+target)^($J1056-(MIN(tbl_rep_mon[year])))</f>
        <v>1.7490062499999994</v>
      </c>
      <c r="L1056" s="35">
        <f t="shared" si="117"/>
        <v>0.33</v>
      </c>
      <c r="M1056" s="37">
        <f t="shared" si="118"/>
        <v>13280.333549999999</v>
      </c>
    </row>
    <row r="1057" spans="1:13" x14ac:dyDescent="0.4">
      <c r="A1057" t="s">
        <v>44</v>
      </c>
      <c r="B1057">
        <v>3</v>
      </c>
      <c r="C1057" s="36">
        <v>103959.82</v>
      </c>
      <c r="D1057" s="1">
        <v>45778</v>
      </c>
      <c r="E1057" s="35">
        <f t="shared" si="112"/>
        <v>0.6</v>
      </c>
      <c r="F1057" s="37">
        <f t="shared" si="113"/>
        <v>51979.91</v>
      </c>
      <c r="G1057" s="37">
        <f t="shared" si="114"/>
        <v>31187.946</v>
      </c>
      <c r="H1057" s="36" cm="1">
        <f t="array" ref="H1057">SUMPRODUCT((C1057&gt;tier_floor)*((C1057-tier_floor)*step)*margin_rate)</f>
        <v>20062.946000000004</v>
      </c>
      <c r="I1057" s="37">
        <f t="shared" si="115"/>
        <v>11124.999999999996</v>
      </c>
      <c r="J1057" s="38">
        <f t="shared" si="116"/>
        <v>2025</v>
      </c>
      <c r="K1057" s="128">
        <f>(1+target)^($J1057-(MIN(tbl_rep_mon[year])))</f>
        <v>1.7490062499999994</v>
      </c>
      <c r="L1057" s="35">
        <f t="shared" si="117"/>
        <v>0.42</v>
      </c>
      <c r="M1057" s="37">
        <f t="shared" si="118"/>
        <v>21831.5622</v>
      </c>
    </row>
    <row r="1058" spans="1:13" x14ac:dyDescent="0.4">
      <c r="A1058" t="s">
        <v>45</v>
      </c>
      <c r="B1058">
        <v>3</v>
      </c>
      <c r="C1058" s="36">
        <v>84579.04</v>
      </c>
      <c r="D1058" s="1">
        <v>45778</v>
      </c>
      <c r="E1058" s="35">
        <f t="shared" si="112"/>
        <v>0.51</v>
      </c>
      <c r="F1058" s="37">
        <f t="shared" si="113"/>
        <v>42289.52</v>
      </c>
      <c r="G1058" s="37">
        <f t="shared" si="114"/>
        <v>21567.655199999997</v>
      </c>
      <c r="H1058" s="36" cm="1">
        <f t="array" ref="H1058">SUMPRODUCT((C1058&gt;tier_floor)*((C1058-tier_floor)*step)*margin_rate)</f>
        <v>14942.655199999999</v>
      </c>
      <c r="I1058" s="37">
        <f t="shared" si="115"/>
        <v>6624.9999999999982</v>
      </c>
      <c r="J1058" s="38">
        <f t="shared" si="116"/>
        <v>2025</v>
      </c>
      <c r="K1058" s="128">
        <f>(1+target)^($J1058-(MIN(tbl_rep_mon[year])))</f>
        <v>1.7490062499999994</v>
      </c>
      <c r="L1058" s="35">
        <f t="shared" si="117"/>
        <v>0.33</v>
      </c>
      <c r="M1058" s="37">
        <f t="shared" si="118"/>
        <v>13955.5416</v>
      </c>
    </row>
    <row r="1059" spans="1:13" x14ac:dyDescent="0.4">
      <c r="A1059" t="s">
        <v>46</v>
      </c>
      <c r="B1059">
        <v>4</v>
      </c>
      <c r="C1059" s="36">
        <v>98785.65</v>
      </c>
      <c r="D1059" s="1">
        <v>45778</v>
      </c>
      <c r="E1059" s="35">
        <f t="shared" si="112"/>
        <v>0.51</v>
      </c>
      <c r="F1059" s="37">
        <f t="shared" si="113"/>
        <v>49392.824999999997</v>
      </c>
      <c r="G1059" s="37">
        <f t="shared" si="114"/>
        <v>25190.340749999999</v>
      </c>
      <c r="H1059" s="36" cm="1">
        <f t="array" ref="H1059">SUMPRODUCT((C1059&gt;tier_floor)*((C1059-tier_floor)*step)*margin_rate)</f>
        <v>18565.340749999999</v>
      </c>
      <c r="I1059" s="37">
        <f t="shared" si="115"/>
        <v>6625</v>
      </c>
      <c r="J1059" s="38">
        <f t="shared" si="116"/>
        <v>2025</v>
      </c>
      <c r="K1059" s="128">
        <f>(1+target)^($J1059-(MIN(tbl_rep_mon[year])))</f>
        <v>1.7490062499999994</v>
      </c>
      <c r="L1059" s="35">
        <f t="shared" si="117"/>
        <v>0.42</v>
      </c>
      <c r="M1059" s="37">
        <f t="shared" si="118"/>
        <v>20744.986499999999</v>
      </c>
    </row>
    <row r="1060" spans="1:13" x14ac:dyDescent="0.4">
      <c r="A1060" t="s">
        <v>47</v>
      </c>
      <c r="B1060">
        <v>2</v>
      </c>
      <c r="C1060" s="36">
        <v>117950.91</v>
      </c>
      <c r="D1060" s="1">
        <v>45778</v>
      </c>
      <c r="E1060" s="35">
        <f t="shared" si="112"/>
        <v>0.6</v>
      </c>
      <c r="F1060" s="37">
        <f t="shared" si="113"/>
        <v>58975.455000000002</v>
      </c>
      <c r="G1060" s="37">
        <f t="shared" si="114"/>
        <v>35385.273000000001</v>
      </c>
      <c r="H1060" s="36" cm="1">
        <f t="array" ref="H1060">SUMPRODUCT((C1060&gt;tier_floor)*((C1060-tier_floor)*step)*margin_rate)</f>
        <v>24260.273000000001</v>
      </c>
      <c r="I1060" s="37">
        <f t="shared" si="115"/>
        <v>11125</v>
      </c>
      <c r="J1060" s="38">
        <f t="shared" si="116"/>
        <v>2025</v>
      </c>
      <c r="K1060" s="128">
        <f>(1+target)^($J1060-(MIN(tbl_rep_mon[year])))</f>
        <v>1.7490062499999994</v>
      </c>
      <c r="L1060" s="35">
        <f t="shared" si="117"/>
        <v>0.42</v>
      </c>
      <c r="M1060" s="37">
        <f t="shared" si="118"/>
        <v>24769.6911</v>
      </c>
    </row>
    <row r="1061" spans="1:13" x14ac:dyDescent="0.4">
      <c r="A1061" t="s">
        <v>48</v>
      </c>
      <c r="B1061">
        <v>4</v>
      </c>
      <c r="C1061" s="36">
        <v>76228.509999999995</v>
      </c>
      <c r="D1061" s="1">
        <v>45778</v>
      </c>
      <c r="E1061" s="35">
        <f t="shared" si="112"/>
        <v>0.51</v>
      </c>
      <c r="F1061" s="37">
        <f t="shared" si="113"/>
        <v>38114.254999999997</v>
      </c>
      <c r="G1061" s="37">
        <f t="shared" si="114"/>
        <v>19438.270049999999</v>
      </c>
      <c r="H1061" s="36" cm="1">
        <f t="array" ref="H1061">SUMPRODUCT((C1061&gt;tier_floor)*((C1061-tier_floor)*step)*margin_rate)</f>
        <v>12813.270049999997</v>
      </c>
      <c r="I1061" s="37">
        <f t="shared" si="115"/>
        <v>6625.0000000000018</v>
      </c>
      <c r="J1061" s="38">
        <f t="shared" si="116"/>
        <v>2025</v>
      </c>
      <c r="K1061" s="128">
        <f>(1+target)^($J1061-(MIN(tbl_rep_mon[year])))</f>
        <v>1.7490062499999994</v>
      </c>
      <c r="L1061" s="35">
        <f t="shared" si="117"/>
        <v>0.33</v>
      </c>
      <c r="M1061" s="37">
        <f t="shared" si="118"/>
        <v>12577.70415</v>
      </c>
    </row>
    <row r="1062" spans="1:13" x14ac:dyDescent="0.4">
      <c r="A1062" t="s">
        <v>6</v>
      </c>
      <c r="B1062">
        <v>2</v>
      </c>
      <c r="C1062" s="36">
        <v>91595.22</v>
      </c>
      <c r="D1062" s="1">
        <v>45809</v>
      </c>
      <c r="E1062" s="35">
        <f t="shared" si="112"/>
        <v>0.51</v>
      </c>
      <c r="F1062" s="37">
        <f t="shared" si="113"/>
        <v>45797.61</v>
      </c>
      <c r="G1062" s="37">
        <f t="shared" si="114"/>
        <v>23356.7811</v>
      </c>
      <c r="H1062" s="36" cm="1">
        <f t="array" ref="H1062">SUMPRODUCT((C1062&gt;tier_floor)*((C1062-tier_floor)*step)*margin_rate)</f>
        <v>16731.7811</v>
      </c>
      <c r="I1062" s="37">
        <f t="shared" si="115"/>
        <v>6625</v>
      </c>
      <c r="J1062" s="38">
        <f t="shared" si="116"/>
        <v>2025</v>
      </c>
      <c r="K1062" s="128">
        <f>(1+target)^($J1062-(MIN(tbl_rep_mon[year])))</f>
        <v>1.7490062499999994</v>
      </c>
      <c r="L1062" s="35">
        <f t="shared" si="117"/>
        <v>0.42</v>
      </c>
      <c r="M1062" s="37">
        <f t="shared" si="118"/>
        <v>19234.996199999998</v>
      </c>
    </row>
    <row r="1063" spans="1:13" x14ac:dyDescent="0.4">
      <c r="A1063" t="s">
        <v>15</v>
      </c>
      <c r="B1063">
        <v>3</v>
      </c>
      <c r="C1063" s="36">
        <v>65070.19</v>
      </c>
      <c r="D1063" s="1">
        <v>45809</v>
      </c>
      <c r="E1063" s="35">
        <f t="shared" si="112"/>
        <v>0.42</v>
      </c>
      <c r="F1063" s="37">
        <f t="shared" si="113"/>
        <v>32535.095000000001</v>
      </c>
      <c r="G1063" s="37">
        <f t="shared" si="114"/>
        <v>13664.7399</v>
      </c>
      <c r="H1063" s="36" cm="1">
        <f t="array" ref="H1063">SUMPRODUCT((C1063&gt;tier_floor)*((C1063-tier_floor)*step)*margin_rate)</f>
        <v>10414.7399</v>
      </c>
      <c r="I1063" s="37">
        <f t="shared" si="115"/>
        <v>3250</v>
      </c>
      <c r="J1063" s="38">
        <f t="shared" si="116"/>
        <v>2025</v>
      </c>
      <c r="K1063" s="128">
        <f>(1+target)^($J1063-(MIN(tbl_rep_mon[year])))</f>
        <v>1.7490062499999994</v>
      </c>
      <c r="L1063" s="35">
        <f t="shared" si="117"/>
        <v>0.33</v>
      </c>
      <c r="M1063" s="37">
        <f t="shared" si="118"/>
        <v>10736.58135</v>
      </c>
    </row>
    <row r="1064" spans="1:13" x14ac:dyDescent="0.4">
      <c r="A1064" t="s">
        <v>19</v>
      </c>
      <c r="B1064">
        <v>4</v>
      </c>
      <c r="C1064" s="36">
        <v>95467.8</v>
      </c>
      <c r="D1064" s="1">
        <v>45809</v>
      </c>
      <c r="E1064" s="35">
        <f t="shared" si="112"/>
        <v>0.51</v>
      </c>
      <c r="F1064" s="37">
        <f t="shared" si="113"/>
        <v>47733.9</v>
      </c>
      <c r="G1064" s="37">
        <f t="shared" si="114"/>
        <v>24344.289000000001</v>
      </c>
      <c r="H1064" s="36" cm="1">
        <f t="array" ref="H1064">SUMPRODUCT((C1064&gt;tier_floor)*((C1064-tier_floor)*step)*margin_rate)</f>
        <v>17719.289000000001</v>
      </c>
      <c r="I1064" s="37">
        <f t="shared" si="115"/>
        <v>6625</v>
      </c>
      <c r="J1064" s="38">
        <f t="shared" si="116"/>
        <v>2025</v>
      </c>
      <c r="K1064" s="128">
        <f>(1+target)^($J1064-(MIN(tbl_rep_mon[year])))</f>
        <v>1.7490062499999994</v>
      </c>
      <c r="L1064" s="35">
        <f t="shared" si="117"/>
        <v>0.42</v>
      </c>
      <c r="M1064" s="37">
        <f t="shared" si="118"/>
        <v>20048.238000000001</v>
      </c>
    </row>
    <row r="1065" spans="1:13" x14ac:dyDescent="0.4">
      <c r="A1065" t="s">
        <v>23</v>
      </c>
      <c r="B1065">
        <v>1</v>
      </c>
      <c r="C1065" s="36">
        <v>242396.35</v>
      </c>
      <c r="D1065" s="1">
        <v>45809</v>
      </c>
      <c r="E1065" s="35">
        <f t="shared" si="112"/>
        <v>0.6</v>
      </c>
      <c r="F1065" s="37">
        <f t="shared" si="113"/>
        <v>121198.175</v>
      </c>
      <c r="G1065" s="37">
        <f t="shared" si="114"/>
        <v>72718.904999999999</v>
      </c>
      <c r="H1065" s="36" cm="1">
        <f t="array" ref="H1065">SUMPRODUCT((C1065&gt;tier_floor)*((C1065-tier_floor)*step)*margin_rate)</f>
        <v>61593.904999999999</v>
      </c>
      <c r="I1065" s="37">
        <f t="shared" si="115"/>
        <v>11125</v>
      </c>
      <c r="J1065" s="38">
        <f t="shared" si="116"/>
        <v>2025</v>
      </c>
      <c r="K1065" s="128">
        <f>(1+target)^($J1065-(MIN(tbl_rep_mon[year])))</f>
        <v>1.7490062499999994</v>
      </c>
      <c r="L1065" s="35">
        <f t="shared" si="117"/>
        <v>0.6</v>
      </c>
      <c r="M1065" s="37">
        <f t="shared" si="118"/>
        <v>72718.904999999999</v>
      </c>
    </row>
    <row r="1066" spans="1:13" x14ac:dyDescent="0.4">
      <c r="A1066" t="s">
        <v>24</v>
      </c>
      <c r="B1066">
        <v>3</v>
      </c>
      <c r="C1066" s="36">
        <v>71620.06</v>
      </c>
      <c r="D1066" s="1">
        <v>45809</v>
      </c>
      <c r="E1066" s="35">
        <f t="shared" si="112"/>
        <v>0.42</v>
      </c>
      <c r="F1066" s="37">
        <f t="shared" si="113"/>
        <v>35810.03</v>
      </c>
      <c r="G1066" s="37">
        <f t="shared" si="114"/>
        <v>15040.212599999999</v>
      </c>
      <c r="H1066" s="36" cm="1">
        <f t="array" ref="H1066">SUMPRODUCT((C1066&gt;tier_floor)*((C1066-tier_floor)*step)*margin_rate)</f>
        <v>11790.212599999999</v>
      </c>
      <c r="I1066" s="37">
        <f t="shared" si="115"/>
        <v>3250</v>
      </c>
      <c r="J1066" s="38">
        <f t="shared" si="116"/>
        <v>2025</v>
      </c>
      <c r="K1066" s="128">
        <f>(1+target)^($J1066-(MIN(tbl_rep_mon[year])))</f>
        <v>1.7490062499999994</v>
      </c>
      <c r="L1066" s="35">
        <f t="shared" si="117"/>
        <v>0.33</v>
      </c>
      <c r="M1066" s="37">
        <f t="shared" si="118"/>
        <v>11817.3099</v>
      </c>
    </row>
    <row r="1067" spans="1:13" x14ac:dyDescent="0.4">
      <c r="A1067" t="s">
        <v>29</v>
      </c>
      <c r="B1067">
        <v>1</v>
      </c>
      <c r="C1067" s="36">
        <v>156259.10999999999</v>
      </c>
      <c r="D1067" s="1">
        <v>45809</v>
      </c>
      <c r="E1067" s="35">
        <f t="shared" si="112"/>
        <v>0.6</v>
      </c>
      <c r="F1067" s="37">
        <f t="shared" si="113"/>
        <v>78129.554999999993</v>
      </c>
      <c r="G1067" s="37">
        <f t="shared" si="114"/>
        <v>46877.732999999993</v>
      </c>
      <c r="H1067" s="36" cm="1">
        <f t="array" ref="H1067">SUMPRODUCT((C1067&gt;tier_floor)*((C1067-tier_floor)*step)*margin_rate)</f>
        <v>35752.732999999993</v>
      </c>
      <c r="I1067" s="37">
        <f t="shared" si="115"/>
        <v>11125</v>
      </c>
      <c r="J1067" s="38">
        <f t="shared" si="116"/>
        <v>2025</v>
      </c>
      <c r="K1067" s="128">
        <f>(1+target)^($J1067-(MIN(tbl_rep_mon[year])))</f>
        <v>1.7490062499999994</v>
      </c>
      <c r="L1067" s="35">
        <f t="shared" si="117"/>
        <v>0.51</v>
      </c>
      <c r="M1067" s="37">
        <f t="shared" si="118"/>
        <v>39846.073049999999</v>
      </c>
    </row>
    <row r="1068" spans="1:13" x14ac:dyDescent="0.4">
      <c r="A1068" t="s">
        <v>32</v>
      </c>
      <c r="B1068">
        <v>4</v>
      </c>
      <c r="C1068" s="36">
        <v>91055.24</v>
      </c>
      <c r="D1068" s="1">
        <v>45809</v>
      </c>
      <c r="E1068" s="35">
        <f t="shared" si="112"/>
        <v>0.51</v>
      </c>
      <c r="F1068" s="37">
        <f t="shared" si="113"/>
        <v>45527.62</v>
      </c>
      <c r="G1068" s="37">
        <f t="shared" si="114"/>
        <v>23219.086200000002</v>
      </c>
      <c r="H1068" s="36" cm="1">
        <f t="array" ref="H1068">SUMPRODUCT((C1068&gt;tier_floor)*((C1068-tier_floor)*step)*margin_rate)</f>
        <v>16594.086200000002</v>
      </c>
      <c r="I1068" s="37">
        <f t="shared" si="115"/>
        <v>6625</v>
      </c>
      <c r="J1068" s="38">
        <f t="shared" si="116"/>
        <v>2025</v>
      </c>
      <c r="K1068" s="128">
        <f>(1+target)^($J1068-(MIN(tbl_rep_mon[year])))</f>
        <v>1.7490062499999994</v>
      </c>
      <c r="L1068" s="35">
        <f t="shared" si="117"/>
        <v>0.42</v>
      </c>
      <c r="M1068" s="37">
        <f t="shared" si="118"/>
        <v>19121.600399999999</v>
      </c>
    </row>
    <row r="1069" spans="1:13" x14ac:dyDescent="0.4">
      <c r="A1069" t="s">
        <v>33</v>
      </c>
      <c r="B1069">
        <v>3</v>
      </c>
      <c r="C1069" s="36">
        <v>85092.91</v>
      </c>
      <c r="D1069" s="1">
        <v>45809</v>
      </c>
      <c r="E1069" s="35">
        <f t="shared" si="112"/>
        <v>0.51</v>
      </c>
      <c r="F1069" s="37">
        <f t="shared" si="113"/>
        <v>42546.455000000002</v>
      </c>
      <c r="G1069" s="37">
        <f t="shared" si="114"/>
        <v>21698.692050000001</v>
      </c>
      <c r="H1069" s="36" cm="1">
        <f t="array" ref="H1069">SUMPRODUCT((C1069&gt;tier_floor)*((C1069-tier_floor)*step)*margin_rate)</f>
        <v>15073.692050000001</v>
      </c>
      <c r="I1069" s="37">
        <f t="shared" si="115"/>
        <v>6625</v>
      </c>
      <c r="J1069" s="38">
        <f t="shared" si="116"/>
        <v>2025</v>
      </c>
      <c r="K1069" s="128">
        <f>(1+target)^($J1069-(MIN(tbl_rep_mon[year])))</f>
        <v>1.7490062499999994</v>
      </c>
      <c r="L1069" s="35">
        <f t="shared" si="117"/>
        <v>0.33</v>
      </c>
      <c r="M1069" s="37">
        <f t="shared" si="118"/>
        <v>14040.330150000002</v>
      </c>
    </row>
    <row r="1070" spans="1:13" x14ac:dyDescent="0.4">
      <c r="A1070" t="s">
        <v>34</v>
      </c>
      <c r="B1070">
        <v>4</v>
      </c>
      <c r="C1070" s="36">
        <v>76406.820000000007</v>
      </c>
      <c r="D1070" s="1">
        <v>45809</v>
      </c>
      <c r="E1070" s="35">
        <f t="shared" si="112"/>
        <v>0.51</v>
      </c>
      <c r="F1070" s="37">
        <f t="shared" si="113"/>
        <v>38203.410000000003</v>
      </c>
      <c r="G1070" s="37">
        <f t="shared" si="114"/>
        <v>19483.739100000003</v>
      </c>
      <c r="H1070" s="36" cm="1">
        <f t="array" ref="H1070">SUMPRODUCT((C1070&gt;tier_floor)*((C1070-tier_floor)*step)*margin_rate)</f>
        <v>12858.739100000001</v>
      </c>
      <c r="I1070" s="37">
        <f t="shared" si="115"/>
        <v>6625.0000000000018</v>
      </c>
      <c r="J1070" s="38">
        <f t="shared" si="116"/>
        <v>2025</v>
      </c>
      <c r="K1070" s="128">
        <f>(1+target)^($J1070-(MIN(tbl_rep_mon[year])))</f>
        <v>1.7490062499999994</v>
      </c>
      <c r="L1070" s="35">
        <f t="shared" si="117"/>
        <v>0.33</v>
      </c>
      <c r="M1070" s="37">
        <f t="shared" si="118"/>
        <v>12607.125300000002</v>
      </c>
    </row>
    <row r="1071" spans="1:13" x14ac:dyDescent="0.4">
      <c r="A1071" t="s">
        <v>35</v>
      </c>
      <c r="B1071">
        <v>4</v>
      </c>
      <c r="C1071" s="36">
        <v>70845.509999999995</v>
      </c>
      <c r="D1071" s="1">
        <v>45809</v>
      </c>
      <c r="E1071" s="35">
        <f t="shared" si="112"/>
        <v>0.42</v>
      </c>
      <c r="F1071" s="37">
        <f t="shared" si="113"/>
        <v>35422.754999999997</v>
      </c>
      <c r="G1071" s="37">
        <f t="shared" si="114"/>
        <v>14877.557099999998</v>
      </c>
      <c r="H1071" s="36" cm="1">
        <f t="array" ref="H1071">SUMPRODUCT((C1071&gt;tier_floor)*((C1071-tier_floor)*step)*margin_rate)</f>
        <v>11627.5571</v>
      </c>
      <c r="I1071" s="37">
        <f t="shared" si="115"/>
        <v>3249.9999999999982</v>
      </c>
      <c r="J1071" s="38">
        <f t="shared" si="116"/>
        <v>2025</v>
      </c>
      <c r="K1071" s="128">
        <f>(1+target)^($J1071-(MIN(tbl_rep_mon[year])))</f>
        <v>1.7490062499999994</v>
      </c>
      <c r="L1071" s="35">
        <f t="shared" si="117"/>
        <v>0.33</v>
      </c>
      <c r="M1071" s="37">
        <f t="shared" si="118"/>
        <v>11689.50915</v>
      </c>
    </row>
    <row r="1072" spans="1:13" x14ac:dyDescent="0.4">
      <c r="A1072" t="s">
        <v>37</v>
      </c>
      <c r="B1072">
        <v>4</v>
      </c>
      <c r="C1072" s="36">
        <v>94539.38</v>
      </c>
      <c r="D1072" s="1">
        <v>45809</v>
      </c>
      <c r="E1072" s="35">
        <f t="shared" si="112"/>
        <v>0.51</v>
      </c>
      <c r="F1072" s="37">
        <f t="shared" si="113"/>
        <v>47269.69</v>
      </c>
      <c r="G1072" s="37">
        <f t="shared" si="114"/>
        <v>24107.5419</v>
      </c>
      <c r="H1072" s="36" cm="1">
        <f t="array" ref="H1072">SUMPRODUCT((C1072&gt;tier_floor)*((C1072-tier_floor)*step)*margin_rate)</f>
        <v>17482.541900000004</v>
      </c>
      <c r="I1072" s="37">
        <f t="shared" si="115"/>
        <v>6624.9999999999964</v>
      </c>
      <c r="J1072" s="38">
        <f t="shared" si="116"/>
        <v>2025</v>
      </c>
      <c r="K1072" s="128">
        <f>(1+target)^($J1072-(MIN(tbl_rep_mon[year])))</f>
        <v>1.7490062499999994</v>
      </c>
      <c r="L1072" s="35">
        <f t="shared" si="117"/>
        <v>0.42</v>
      </c>
      <c r="M1072" s="37">
        <f t="shared" si="118"/>
        <v>19853.269800000002</v>
      </c>
    </row>
    <row r="1073" spans="1:13" x14ac:dyDescent="0.4">
      <c r="A1073" t="s">
        <v>38</v>
      </c>
      <c r="B1073">
        <v>2</v>
      </c>
      <c r="C1073" s="36">
        <v>124980.47</v>
      </c>
      <c r="D1073" s="1">
        <v>45809</v>
      </c>
      <c r="E1073" s="35">
        <f t="shared" si="112"/>
        <v>0.6</v>
      </c>
      <c r="F1073" s="37">
        <f t="shared" si="113"/>
        <v>62490.235000000001</v>
      </c>
      <c r="G1073" s="37">
        <f t="shared" si="114"/>
        <v>37494.140999999996</v>
      </c>
      <c r="H1073" s="36" cm="1">
        <f t="array" ref="H1073">SUMPRODUCT((C1073&gt;tier_floor)*((C1073-tier_floor)*step)*margin_rate)</f>
        <v>26369.141000000003</v>
      </c>
      <c r="I1073" s="37">
        <f t="shared" si="115"/>
        <v>11124.999999999993</v>
      </c>
      <c r="J1073" s="38">
        <f t="shared" si="116"/>
        <v>2025</v>
      </c>
      <c r="K1073" s="128">
        <f>(1+target)^($J1073-(MIN(tbl_rep_mon[year])))</f>
        <v>1.7490062499999994</v>
      </c>
      <c r="L1073" s="35">
        <f t="shared" si="117"/>
        <v>0.42</v>
      </c>
      <c r="M1073" s="37">
        <f t="shared" si="118"/>
        <v>26245.898699999998</v>
      </c>
    </row>
    <row r="1074" spans="1:13" x14ac:dyDescent="0.4">
      <c r="A1074" t="s">
        <v>39</v>
      </c>
      <c r="B1074">
        <v>2</v>
      </c>
      <c r="C1074" s="36">
        <v>87301.56</v>
      </c>
      <c r="D1074" s="1">
        <v>45809</v>
      </c>
      <c r="E1074" s="35">
        <f t="shared" si="112"/>
        <v>0.51</v>
      </c>
      <c r="F1074" s="37">
        <f t="shared" si="113"/>
        <v>43650.78</v>
      </c>
      <c r="G1074" s="37">
        <f t="shared" si="114"/>
        <v>22261.897799999999</v>
      </c>
      <c r="H1074" s="36" cm="1">
        <f t="array" ref="H1074">SUMPRODUCT((C1074&gt;tier_floor)*((C1074-tier_floor)*step)*margin_rate)</f>
        <v>15636.897800000001</v>
      </c>
      <c r="I1074" s="37">
        <f t="shared" si="115"/>
        <v>6624.9999999999982</v>
      </c>
      <c r="J1074" s="38">
        <f t="shared" si="116"/>
        <v>2025</v>
      </c>
      <c r="K1074" s="128">
        <f>(1+target)^($J1074-(MIN(tbl_rep_mon[year])))</f>
        <v>1.7490062499999994</v>
      </c>
      <c r="L1074" s="35">
        <f t="shared" si="117"/>
        <v>0.33</v>
      </c>
      <c r="M1074" s="37">
        <f t="shared" si="118"/>
        <v>14404.7574</v>
      </c>
    </row>
    <row r="1075" spans="1:13" x14ac:dyDescent="0.4">
      <c r="A1075" t="s">
        <v>43</v>
      </c>
      <c r="B1075">
        <v>4</v>
      </c>
      <c r="C1075" s="36">
        <v>84557.88</v>
      </c>
      <c r="D1075" s="1">
        <v>45809</v>
      </c>
      <c r="E1075" s="35">
        <f t="shared" si="112"/>
        <v>0.51</v>
      </c>
      <c r="F1075" s="37">
        <f t="shared" si="113"/>
        <v>42278.94</v>
      </c>
      <c r="G1075" s="37">
        <f t="shared" si="114"/>
        <v>21562.259400000003</v>
      </c>
      <c r="H1075" s="36" cm="1">
        <f t="array" ref="H1075">SUMPRODUCT((C1075&gt;tier_floor)*((C1075-tier_floor)*step)*margin_rate)</f>
        <v>14937.259400000001</v>
      </c>
      <c r="I1075" s="37">
        <f t="shared" si="115"/>
        <v>6625.0000000000018</v>
      </c>
      <c r="J1075" s="38">
        <f t="shared" si="116"/>
        <v>2025</v>
      </c>
      <c r="K1075" s="128">
        <f>(1+target)^($J1075-(MIN(tbl_rep_mon[year])))</f>
        <v>1.7490062499999994</v>
      </c>
      <c r="L1075" s="35">
        <f t="shared" si="117"/>
        <v>0.33</v>
      </c>
      <c r="M1075" s="37">
        <f t="shared" si="118"/>
        <v>13952.050200000001</v>
      </c>
    </row>
    <row r="1076" spans="1:13" x14ac:dyDescent="0.4">
      <c r="A1076" t="s">
        <v>44</v>
      </c>
      <c r="B1076">
        <v>3</v>
      </c>
      <c r="C1076" s="36">
        <v>81353.75</v>
      </c>
      <c r="D1076" s="1">
        <v>45809</v>
      </c>
      <c r="E1076" s="35">
        <f t="shared" si="112"/>
        <v>0.51</v>
      </c>
      <c r="F1076" s="37">
        <f t="shared" si="113"/>
        <v>40676.875</v>
      </c>
      <c r="G1076" s="37">
        <f t="shared" si="114"/>
        <v>20745.206249999999</v>
      </c>
      <c r="H1076" s="36" cm="1">
        <f t="array" ref="H1076">SUMPRODUCT((C1076&gt;tier_floor)*((C1076-tier_floor)*step)*margin_rate)</f>
        <v>14120.206250000001</v>
      </c>
      <c r="I1076" s="37">
        <f t="shared" si="115"/>
        <v>6624.9999999999982</v>
      </c>
      <c r="J1076" s="38">
        <f t="shared" si="116"/>
        <v>2025</v>
      </c>
      <c r="K1076" s="128">
        <f>(1+target)^($J1076-(MIN(tbl_rep_mon[year])))</f>
        <v>1.7490062499999994</v>
      </c>
      <c r="L1076" s="35">
        <f t="shared" si="117"/>
        <v>0.33</v>
      </c>
      <c r="M1076" s="37">
        <f t="shared" si="118"/>
        <v>13423.368750000001</v>
      </c>
    </row>
    <row r="1077" spans="1:13" x14ac:dyDescent="0.4">
      <c r="A1077" t="s">
        <v>45</v>
      </c>
      <c r="B1077">
        <v>3</v>
      </c>
      <c r="C1077" s="36">
        <v>109575.8</v>
      </c>
      <c r="D1077" s="1">
        <v>45809</v>
      </c>
      <c r="E1077" s="35">
        <f t="shared" si="112"/>
        <v>0.6</v>
      </c>
      <c r="F1077" s="37">
        <f t="shared" si="113"/>
        <v>54787.9</v>
      </c>
      <c r="G1077" s="37">
        <f t="shared" si="114"/>
        <v>32872.74</v>
      </c>
      <c r="H1077" s="36" cm="1">
        <f t="array" ref="H1077">SUMPRODUCT((C1077&gt;tier_floor)*((C1077-tier_floor)*step)*margin_rate)</f>
        <v>21747.74</v>
      </c>
      <c r="I1077" s="37">
        <f t="shared" si="115"/>
        <v>11124.999999999996</v>
      </c>
      <c r="J1077" s="38">
        <f t="shared" si="116"/>
        <v>2025</v>
      </c>
      <c r="K1077" s="128">
        <f>(1+target)^($J1077-(MIN(tbl_rep_mon[year])))</f>
        <v>1.7490062499999994</v>
      </c>
      <c r="L1077" s="35">
        <f t="shared" si="117"/>
        <v>0.42</v>
      </c>
      <c r="M1077" s="37">
        <f t="shared" si="118"/>
        <v>23010.918000000001</v>
      </c>
    </row>
    <row r="1078" spans="1:13" x14ac:dyDescent="0.4">
      <c r="A1078" t="s">
        <v>46</v>
      </c>
      <c r="B1078">
        <v>4</v>
      </c>
      <c r="C1078" s="36">
        <v>65425.86</v>
      </c>
      <c r="D1078" s="1">
        <v>45809</v>
      </c>
      <c r="E1078" s="35">
        <f t="shared" si="112"/>
        <v>0.42</v>
      </c>
      <c r="F1078" s="37">
        <f t="shared" si="113"/>
        <v>32712.93</v>
      </c>
      <c r="G1078" s="37">
        <f t="shared" si="114"/>
        <v>13739.4306</v>
      </c>
      <c r="H1078" s="36" cm="1">
        <f t="array" ref="H1078">SUMPRODUCT((C1078&gt;tier_floor)*((C1078-tier_floor)*step)*margin_rate)</f>
        <v>10489.4306</v>
      </c>
      <c r="I1078" s="37">
        <f t="shared" si="115"/>
        <v>3250</v>
      </c>
      <c r="J1078" s="38">
        <f t="shared" si="116"/>
        <v>2025</v>
      </c>
      <c r="K1078" s="128">
        <f>(1+target)^($J1078-(MIN(tbl_rep_mon[year])))</f>
        <v>1.7490062499999994</v>
      </c>
      <c r="L1078" s="35">
        <f t="shared" si="117"/>
        <v>0.33</v>
      </c>
      <c r="M1078" s="37">
        <f t="shared" si="118"/>
        <v>10795.266900000001</v>
      </c>
    </row>
    <row r="1079" spans="1:13" x14ac:dyDescent="0.4">
      <c r="A1079" t="s">
        <v>47</v>
      </c>
      <c r="B1079">
        <v>2</v>
      </c>
      <c r="C1079" s="36">
        <v>100687.34</v>
      </c>
      <c r="D1079" s="1">
        <v>45809</v>
      </c>
      <c r="E1079" s="35">
        <f t="shared" si="112"/>
        <v>0.6</v>
      </c>
      <c r="F1079" s="37">
        <f t="shared" si="113"/>
        <v>50343.67</v>
      </c>
      <c r="G1079" s="37">
        <f t="shared" si="114"/>
        <v>30206.201999999997</v>
      </c>
      <c r="H1079" s="36" cm="1">
        <f t="array" ref="H1079">SUMPRODUCT((C1079&gt;tier_floor)*((C1079-tier_floor)*step)*margin_rate)</f>
        <v>19081.201999999997</v>
      </c>
      <c r="I1079" s="37">
        <f t="shared" si="115"/>
        <v>11125</v>
      </c>
      <c r="J1079" s="38">
        <f t="shared" si="116"/>
        <v>2025</v>
      </c>
      <c r="K1079" s="128">
        <f>(1+target)^($J1079-(MIN(tbl_rep_mon[year])))</f>
        <v>1.7490062499999994</v>
      </c>
      <c r="L1079" s="35">
        <f t="shared" si="117"/>
        <v>0.42</v>
      </c>
      <c r="M1079" s="37">
        <f t="shared" si="118"/>
        <v>21144.341399999998</v>
      </c>
    </row>
    <row r="1080" spans="1:13" x14ac:dyDescent="0.4">
      <c r="A1080" t="s">
        <v>48</v>
      </c>
      <c r="B1080">
        <v>4</v>
      </c>
      <c r="C1080" s="36">
        <v>91358.7</v>
      </c>
      <c r="D1080" s="1">
        <v>45809</v>
      </c>
      <c r="E1080" s="35">
        <f t="shared" si="112"/>
        <v>0.51</v>
      </c>
      <c r="F1080" s="37">
        <f t="shared" si="113"/>
        <v>45679.35</v>
      </c>
      <c r="G1080" s="37">
        <f t="shared" si="114"/>
        <v>23296.468499999999</v>
      </c>
      <c r="H1080" s="36" cm="1">
        <f t="array" ref="H1080">SUMPRODUCT((C1080&gt;tier_floor)*((C1080-tier_floor)*step)*margin_rate)</f>
        <v>16671.468499999999</v>
      </c>
      <c r="I1080" s="37">
        <f t="shared" si="115"/>
        <v>6625</v>
      </c>
      <c r="J1080" s="38">
        <f t="shared" si="116"/>
        <v>2025</v>
      </c>
      <c r="K1080" s="128">
        <f>(1+target)^($J1080-(MIN(tbl_rep_mon[year])))</f>
        <v>1.7490062499999994</v>
      </c>
      <c r="L1080" s="35">
        <f t="shared" si="117"/>
        <v>0.42</v>
      </c>
      <c r="M1080" s="37">
        <f t="shared" si="118"/>
        <v>19185.326999999997</v>
      </c>
    </row>
    <row r="1081" spans="1:13" x14ac:dyDescent="0.4">
      <c r="A1081" t="s">
        <v>49</v>
      </c>
      <c r="B1081">
        <v>2</v>
      </c>
      <c r="C1081" s="36">
        <v>73524.73</v>
      </c>
      <c r="D1081" s="1">
        <v>45809</v>
      </c>
      <c r="E1081" s="35">
        <f t="shared" si="112"/>
        <v>0.42</v>
      </c>
      <c r="F1081" s="37">
        <f t="shared" si="113"/>
        <v>36762.364999999998</v>
      </c>
      <c r="G1081" s="37">
        <f t="shared" si="114"/>
        <v>15440.193299999999</v>
      </c>
      <c r="H1081" s="36" cm="1">
        <f t="array" ref="H1081">SUMPRODUCT((C1081&gt;tier_floor)*((C1081-tier_floor)*step)*margin_rate)</f>
        <v>12190.193299999999</v>
      </c>
      <c r="I1081" s="37">
        <f t="shared" si="115"/>
        <v>3250</v>
      </c>
      <c r="J1081" s="38">
        <f t="shared" si="116"/>
        <v>2025</v>
      </c>
      <c r="K1081" s="128">
        <f>(1+target)^($J1081-(MIN(tbl_rep_mon[year])))</f>
        <v>1.7490062499999994</v>
      </c>
      <c r="L1081" s="35">
        <f t="shared" si="117"/>
        <v>0.33</v>
      </c>
      <c r="M1081" s="37">
        <f t="shared" si="118"/>
        <v>12131.580449999999</v>
      </c>
    </row>
    <row r="1082" spans="1:13" x14ac:dyDescent="0.4">
      <c r="A1082" t="s">
        <v>6</v>
      </c>
      <c r="B1082">
        <v>2</v>
      </c>
      <c r="C1082" s="36">
        <v>79717.210000000006</v>
      </c>
      <c r="D1082" s="1">
        <v>45839</v>
      </c>
      <c r="E1082" s="35">
        <f t="shared" si="112"/>
        <v>0.51</v>
      </c>
      <c r="F1082" s="37">
        <f t="shared" si="113"/>
        <v>39858.605000000003</v>
      </c>
      <c r="G1082" s="37">
        <f t="shared" si="114"/>
        <v>20327.888550000003</v>
      </c>
      <c r="H1082" s="36" cm="1">
        <f t="array" ref="H1082">SUMPRODUCT((C1082&gt;tier_floor)*((C1082-tier_floor)*step)*margin_rate)</f>
        <v>13702.888550000003</v>
      </c>
      <c r="I1082" s="37">
        <f t="shared" si="115"/>
        <v>6625</v>
      </c>
      <c r="J1082" s="38">
        <f t="shared" si="116"/>
        <v>2025</v>
      </c>
      <c r="K1082" s="128">
        <f>(1+target)^($J1082-(MIN(tbl_rep_mon[year])))</f>
        <v>1.7490062499999994</v>
      </c>
      <c r="L1082" s="35">
        <f t="shared" si="117"/>
        <v>0.33</v>
      </c>
      <c r="M1082" s="37">
        <f t="shared" si="118"/>
        <v>13153.339650000002</v>
      </c>
    </row>
    <row r="1083" spans="1:13" x14ac:dyDescent="0.4">
      <c r="A1083" t="s">
        <v>15</v>
      </c>
      <c r="B1083">
        <v>3</v>
      </c>
      <c r="C1083" s="36">
        <v>96020.66</v>
      </c>
      <c r="D1083" s="1">
        <v>45839</v>
      </c>
      <c r="E1083" s="35">
        <f t="shared" si="112"/>
        <v>0.51</v>
      </c>
      <c r="F1083" s="37">
        <f t="shared" si="113"/>
        <v>48010.33</v>
      </c>
      <c r="G1083" s="37">
        <f t="shared" si="114"/>
        <v>24485.2683</v>
      </c>
      <c r="H1083" s="36" cm="1">
        <f t="array" ref="H1083">SUMPRODUCT((C1083&gt;tier_floor)*((C1083-tier_floor)*step)*margin_rate)</f>
        <v>17860.268300000003</v>
      </c>
      <c r="I1083" s="37">
        <f t="shared" si="115"/>
        <v>6624.9999999999964</v>
      </c>
      <c r="J1083" s="38">
        <f t="shared" si="116"/>
        <v>2025</v>
      </c>
      <c r="K1083" s="128">
        <f>(1+target)^($J1083-(MIN(tbl_rep_mon[year])))</f>
        <v>1.7490062499999994</v>
      </c>
      <c r="L1083" s="35">
        <f t="shared" si="117"/>
        <v>0.42</v>
      </c>
      <c r="M1083" s="37">
        <f t="shared" si="118"/>
        <v>20164.338599999999</v>
      </c>
    </row>
    <row r="1084" spans="1:13" x14ac:dyDescent="0.4">
      <c r="A1084" t="s">
        <v>19</v>
      </c>
      <c r="B1084">
        <v>4</v>
      </c>
      <c r="C1084" s="36">
        <v>77243.350000000006</v>
      </c>
      <c r="D1084" s="1">
        <v>45839</v>
      </c>
      <c r="E1084" s="35">
        <f t="shared" si="112"/>
        <v>0.51</v>
      </c>
      <c r="F1084" s="37">
        <f t="shared" si="113"/>
        <v>38621.675000000003</v>
      </c>
      <c r="G1084" s="37">
        <f t="shared" si="114"/>
        <v>19697.054250000001</v>
      </c>
      <c r="H1084" s="36" cm="1">
        <f t="array" ref="H1084">SUMPRODUCT((C1084&gt;tier_floor)*((C1084-tier_floor)*step)*margin_rate)</f>
        <v>13072.054250000001</v>
      </c>
      <c r="I1084" s="37">
        <f t="shared" si="115"/>
        <v>6625</v>
      </c>
      <c r="J1084" s="38">
        <f t="shared" si="116"/>
        <v>2025</v>
      </c>
      <c r="K1084" s="128">
        <f>(1+target)^($J1084-(MIN(tbl_rep_mon[year])))</f>
        <v>1.7490062499999994</v>
      </c>
      <c r="L1084" s="35">
        <f t="shared" si="117"/>
        <v>0.33</v>
      </c>
      <c r="M1084" s="37">
        <f t="shared" si="118"/>
        <v>12745.152750000001</v>
      </c>
    </row>
    <row r="1085" spans="1:13" x14ac:dyDescent="0.4">
      <c r="A1085" t="s">
        <v>23</v>
      </c>
      <c r="B1085">
        <v>1</v>
      </c>
      <c r="C1085" s="36">
        <v>206726.77</v>
      </c>
      <c r="D1085" s="1">
        <v>45839</v>
      </c>
      <c r="E1085" s="35">
        <f t="shared" si="112"/>
        <v>0.6</v>
      </c>
      <c r="F1085" s="37">
        <f t="shared" si="113"/>
        <v>103363.38499999999</v>
      </c>
      <c r="G1085" s="37">
        <f t="shared" si="114"/>
        <v>62018.030999999995</v>
      </c>
      <c r="H1085" s="36" cm="1">
        <f t="array" ref="H1085">SUMPRODUCT((C1085&gt;tier_floor)*((C1085-tier_floor)*step)*margin_rate)</f>
        <v>50893.031000000003</v>
      </c>
      <c r="I1085" s="37">
        <f t="shared" si="115"/>
        <v>11124.999999999993</v>
      </c>
      <c r="J1085" s="38">
        <f t="shared" si="116"/>
        <v>2025</v>
      </c>
      <c r="K1085" s="128">
        <f>(1+target)^($J1085-(MIN(tbl_rep_mon[year])))</f>
        <v>1.7490062499999994</v>
      </c>
      <c r="L1085" s="35">
        <f t="shared" si="117"/>
        <v>0.6</v>
      </c>
      <c r="M1085" s="37">
        <f t="shared" si="118"/>
        <v>62018.030999999995</v>
      </c>
    </row>
    <row r="1086" spans="1:13" x14ac:dyDescent="0.4">
      <c r="A1086" t="s">
        <v>24</v>
      </c>
      <c r="B1086">
        <v>3</v>
      </c>
      <c r="C1086" s="36">
        <v>85528.36</v>
      </c>
      <c r="D1086" s="1">
        <v>45839</v>
      </c>
      <c r="E1086" s="35">
        <f t="shared" si="112"/>
        <v>0.51</v>
      </c>
      <c r="F1086" s="37">
        <f t="shared" si="113"/>
        <v>42764.18</v>
      </c>
      <c r="G1086" s="37">
        <f t="shared" si="114"/>
        <v>21809.731800000001</v>
      </c>
      <c r="H1086" s="36" cm="1">
        <f t="array" ref="H1086">SUMPRODUCT((C1086&gt;tier_floor)*((C1086-tier_floor)*step)*margin_rate)</f>
        <v>15184.731800000001</v>
      </c>
      <c r="I1086" s="37">
        <f t="shared" si="115"/>
        <v>6625</v>
      </c>
      <c r="J1086" s="38">
        <f t="shared" si="116"/>
        <v>2025</v>
      </c>
      <c r="K1086" s="128">
        <f>(1+target)^($J1086-(MIN(tbl_rep_mon[year])))</f>
        <v>1.7490062499999994</v>
      </c>
      <c r="L1086" s="35">
        <f t="shared" si="117"/>
        <v>0.33</v>
      </c>
      <c r="M1086" s="37">
        <f t="shared" si="118"/>
        <v>14112.179400000001</v>
      </c>
    </row>
    <row r="1087" spans="1:13" x14ac:dyDescent="0.4">
      <c r="A1087" t="s">
        <v>29</v>
      </c>
      <c r="B1087">
        <v>1</v>
      </c>
      <c r="C1087" s="36">
        <v>139341.37</v>
      </c>
      <c r="D1087" s="1">
        <v>45839</v>
      </c>
      <c r="E1087" s="35">
        <f t="shared" si="112"/>
        <v>0.6</v>
      </c>
      <c r="F1087" s="37">
        <f t="shared" si="113"/>
        <v>69670.684999999998</v>
      </c>
      <c r="G1087" s="37">
        <f t="shared" si="114"/>
        <v>41802.411</v>
      </c>
      <c r="H1087" s="36" cm="1">
        <f t="array" ref="H1087">SUMPRODUCT((C1087&gt;tier_floor)*((C1087-tier_floor)*step)*margin_rate)</f>
        <v>30677.411</v>
      </c>
      <c r="I1087" s="37">
        <f t="shared" si="115"/>
        <v>11125</v>
      </c>
      <c r="J1087" s="38">
        <f t="shared" si="116"/>
        <v>2025</v>
      </c>
      <c r="K1087" s="128">
        <f>(1+target)^($J1087-(MIN(tbl_rep_mon[year])))</f>
        <v>1.7490062499999994</v>
      </c>
      <c r="L1087" s="35">
        <f t="shared" si="117"/>
        <v>0.51</v>
      </c>
      <c r="M1087" s="37">
        <f t="shared" si="118"/>
        <v>35532.049350000001</v>
      </c>
    </row>
    <row r="1088" spans="1:13" x14ac:dyDescent="0.4">
      <c r="A1088" t="s">
        <v>32</v>
      </c>
      <c r="B1088">
        <v>4</v>
      </c>
      <c r="C1088" s="36">
        <v>109125.42</v>
      </c>
      <c r="D1088" s="1">
        <v>45839</v>
      </c>
      <c r="E1088" s="35">
        <f t="shared" si="112"/>
        <v>0.6</v>
      </c>
      <c r="F1088" s="37">
        <f t="shared" si="113"/>
        <v>54562.71</v>
      </c>
      <c r="G1088" s="37">
        <f t="shared" si="114"/>
        <v>32737.625999999997</v>
      </c>
      <c r="H1088" s="36" cm="1">
        <f t="array" ref="H1088">SUMPRODUCT((C1088&gt;tier_floor)*((C1088-tier_floor)*step)*margin_rate)</f>
        <v>21612.625999999997</v>
      </c>
      <c r="I1088" s="37">
        <f t="shared" si="115"/>
        <v>11125</v>
      </c>
      <c r="J1088" s="38">
        <f t="shared" si="116"/>
        <v>2025</v>
      </c>
      <c r="K1088" s="128">
        <f>(1+target)^($J1088-(MIN(tbl_rep_mon[year])))</f>
        <v>1.7490062499999994</v>
      </c>
      <c r="L1088" s="35">
        <f t="shared" si="117"/>
        <v>0.42</v>
      </c>
      <c r="M1088" s="37">
        <f t="shared" si="118"/>
        <v>22916.338199999998</v>
      </c>
    </row>
    <row r="1089" spans="1:13" x14ac:dyDescent="0.4">
      <c r="A1089" t="s">
        <v>33</v>
      </c>
      <c r="B1089">
        <v>3</v>
      </c>
      <c r="C1089" s="36">
        <v>73661.240000000005</v>
      </c>
      <c r="D1089" s="1">
        <v>45839</v>
      </c>
      <c r="E1089" s="35">
        <f t="shared" si="112"/>
        <v>0.42</v>
      </c>
      <c r="F1089" s="37">
        <f t="shared" si="113"/>
        <v>36830.620000000003</v>
      </c>
      <c r="G1089" s="37">
        <f t="shared" si="114"/>
        <v>15468.860400000001</v>
      </c>
      <c r="H1089" s="36" cm="1">
        <f t="array" ref="H1089">SUMPRODUCT((C1089&gt;tier_floor)*((C1089-tier_floor)*step)*margin_rate)</f>
        <v>12218.860400000001</v>
      </c>
      <c r="I1089" s="37">
        <f t="shared" si="115"/>
        <v>3250</v>
      </c>
      <c r="J1089" s="38">
        <f t="shared" si="116"/>
        <v>2025</v>
      </c>
      <c r="K1089" s="128">
        <f>(1+target)^($J1089-(MIN(tbl_rep_mon[year])))</f>
        <v>1.7490062499999994</v>
      </c>
      <c r="L1089" s="35">
        <f t="shared" si="117"/>
        <v>0.33</v>
      </c>
      <c r="M1089" s="37">
        <f t="shared" si="118"/>
        <v>12154.104600000001</v>
      </c>
    </row>
    <row r="1090" spans="1:13" x14ac:dyDescent="0.4">
      <c r="A1090" t="s">
        <v>34</v>
      </c>
      <c r="B1090">
        <v>4</v>
      </c>
      <c r="C1090" s="36">
        <v>80169.39</v>
      </c>
      <c r="D1090" s="1">
        <v>45839</v>
      </c>
      <c r="E1090" s="35">
        <f t="shared" ref="E1090:E1153" si="119">_xlfn.XLOOKUP(C1090,tier_floor,tier_rate,,-1)</f>
        <v>0.51</v>
      </c>
      <c r="F1090" s="37">
        <f t="shared" ref="F1090:F1153" si="120">C1090*margin_rate</f>
        <v>40084.695</v>
      </c>
      <c r="G1090" s="37">
        <f t="shared" ref="G1090:G1153" si="121">F1090*E1090</f>
        <v>20443.194449999999</v>
      </c>
      <c r="H1090" s="36" cm="1">
        <f t="array" ref="H1090">SUMPRODUCT((C1090&gt;tier_floor)*((C1090-tier_floor)*step)*margin_rate)</f>
        <v>13818.194450000001</v>
      </c>
      <c r="I1090" s="37">
        <f t="shared" ref="I1090:I1153" si="122">G1090-H1090</f>
        <v>6624.9999999999982</v>
      </c>
      <c r="J1090" s="38">
        <f t="shared" ref="J1090:J1153" si="123">YEAR(D1090)</f>
        <v>2025</v>
      </c>
      <c r="K1090" s="128">
        <f>(1+target)^($J1090-(MIN(tbl_rep_mon[year])))</f>
        <v>1.7490062499999994</v>
      </c>
      <c r="L1090" s="35">
        <f t="shared" ref="L1090:L1153" si="124">_xlfn.XLOOKUP(($C1090/$K1090),tier_floor,tier_rate,,-1)</f>
        <v>0.33</v>
      </c>
      <c r="M1090" s="37">
        <f t="shared" ref="M1090:M1153" si="125">$F1090*$L1090</f>
        <v>13227.949350000001</v>
      </c>
    </row>
    <row r="1091" spans="1:13" x14ac:dyDescent="0.4">
      <c r="A1091" t="s">
        <v>35</v>
      </c>
      <c r="B1091">
        <v>4</v>
      </c>
      <c r="C1091" s="36">
        <v>81163.22</v>
      </c>
      <c r="D1091" s="1">
        <v>45839</v>
      </c>
      <c r="E1091" s="35">
        <f t="shared" si="119"/>
        <v>0.51</v>
      </c>
      <c r="F1091" s="37">
        <f t="shared" si="120"/>
        <v>40581.61</v>
      </c>
      <c r="G1091" s="37">
        <f t="shared" si="121"/>
        <v>20696.6211</v>
      </c>
      <c r="H1091" s="36" cm="1">
        <f t="array" ref="H1091">SUMPRODUCT((C1091&gt;tier_floor)*((C1091-tier_floor)*step)*margin_rate)</f>
        <v>14071.6211</v>
      </c>
      <c r="I1091" s="37">
        <f t="shared" si="122"/>
        <v>6625</v>
      </c>
      <c r="J1091" s="38">
        <f t="shared" si="123"/>
        <v>2025</v>
      </c>
      <c r="K1091" s="128">
        <f>(1+target)^($J1091-(MIN(tbl_rep_mon[year])))</f>
        <v>1.7490062499999994</v>
      </c>
      <c r="L1091" s="35">
        <f t="shared" si="124"/>
        <v>0.33</v>
      </c>
      <c r="M1091" s="37">
        <f t="shared" si="125"/>
        <v>13391.9313</v>
      </c>
    </row>
    <row r="1092" spans="1:13" x14ac:dyDescent="0.4">
      <c r="A1092" t="s">
        <v>37</v>
      </c>
      <c r="B1092">
        <v>4</v>
      </c>
      <c r="C1092" s="36">
        <v>90264.71</v>
      </c>
      <c r="D1092" s="1">
        <v>45839</v>
      </c>
      <c r="E1092" s="35">
        <f t="shared" si="119"/>
        <v>0.51</v>
      </c>
      <c r="F1092" s="37">
        <f t="shared" si="120"/>
        <v>45132.355000000003</v>
      </c>
      <c r="G1092" s="37">
        <f t="shared" si="121"/>
        <v>23017.501050000003</v>
      </c>
      <c r="H1092" s="36" cm="1">
        <f t="array" ref="H1092">SUMPRODUCT((C1092&gt;tier_floor)*((C1092-tier_floor)*step)*margin_rate)</f>
        <v>16392.501050000003</v>
      </c>
      <c r="I1092" s="37">
        <f t="shared" si="122"/>
        <v>6625</v>
      </c>
      <c r="J1092" s="38">
        <f t="shared" si="123"/>
        <v>2025</v>
      </c>
      <c r="K1092" s="128">
        <f>(1+target)^($J1092-(MIN(tbl_rep_mon[year])))</f>
        <v>1.7490062499999994</v>
      </c>
      <c r="L1092" s="35">
        <f t="shared" si="124"/>
        <v>0.42</v>
      </c>
      <c r="M1092" s="37">
        <f t="shared" si="125"/>
        <v>18955.589100000001</v>
      </c>
    </row>
    <row r="1093" spans="1:13" x14ac:dyDescent="0.4">
      <c r="A1093" t="s">
        <v>38</v>
      </c>
      <c r="B1093">
        <v>2</v>
      </c>
      <c r="C1093" s="36">
        <v>130431.77</v>
      </c>
      <c r="D1093" s="1">
        <v>45839</v>
      </c>
      <c r="E1093" s="35">
        <f t="shared" si="119"/>
        <v>0.6</v>
      </c>
      <c r="F1093" s="37">
        <f t="shared" si="120"/>
        <v>65215.885000000002</v>
      </c>
      <c r="G1093" s="37">
        <f t="shared" si="121"/>
        <v>39129.531000000003</v>
      </c>
      <c r="H1093" s="36" cm="1">
        <f t="array" ref="H1093">SUMPRODUCT((C1093&gt;tier_floor)*((C1093-tier_floor)*step)*margin_rate)</f>
        <v>28004.530999999999</v>
      </c>
      <c r="I1093" s="37">
        <f t="shared" si="122"/>
        <v>11125.000000000004</v>
      </c>
      <c r="J1093" s="38">
        <f t="shared" si="123"/>
        <v>2025</v>
      </c>
      <c r="K1093" s="128">
        <f>(1+target)^($J1093-(MIN(tbl_rep_mon[year])))</f>
        <v>1.7490062499999994</v>
      </c>
      <c r="L1093" s="35">
        <f t="shared" si="124"/>
        <v>0.42</v>
      </c>
      <c r="M1093" s="37">
        <f t="shared" si="125"/>
        <v>27390.671699999999</v>
      </c>
    </row>
    <row r="1094" spans="1:13" x14ac:dyDescent="0.4">
      <c r="A1094" t="s">
        <v>39</v>
      </c>
      <c r="B1094">
        <v>2</v>
      </c>
      <c r="C1094" s="36">
        <v>97510.91</v>
      </c>
      <c r="D1094" s="1">
        <v>45839</v>
      </c>
      <c r="E1094" s="35">
        <f t="shared" si="119"/>
        <v>0.51</v>
      </c>
      <c r="F1094" s="37">
        <f t="shared" si="120"/>
        <v>48755.455000000002</v>
      </c>
      <c r="G1094" s="37">
        <f t="shared" si="121"/>
        <v>24865.282050000002</v>
      </c>
      <c r="H1094" s="36" cm="1">
        <f t="array" ref="H1094">SUMPRODUCT((C1094&gt;tier_floor)*((C1094-tier_floor)*step)*margin_rate)</f>
        <v>18240.282050000002</v>
      </c>
      <c r="I1094" s="37">
        <f t="shared" si="122"/>
        <v>6625</v>
      </c>
      <c r="J1094" s="38">
        <f t="shared" si="123"/>
        <v>2025</v>
      </c>
      <c r="K1094" s="128">
        <f>(1+target)^($J1094-(MIN(tbl_rep_mon[year])))</f>
        <v>1.7490062499999994</v>
      </c>
      <c r="L1094" s="35">
        <f t="shared" si="124"/>
        <v>0.42</v>
      </c>
      <c r="M1094" s="37">
        <f t="shared" si="125"/>
        <v>20477.291099999999</v>
      </c>
    </row>
    <row r="1095" spans="1:13" x14ac:dyDescent="0.4">
      <c r="A1095" t="s">
        <v>43</v>
      </c>
      <c r="B1095">
        <v>4</v>
      </c>
      <c r="C1095" s="36">
        <v>78909.66</v>
      </c>
      <c r="D1095" s="1">
        <v>45839</v>
      </c>
      <c r="E1095" s="35">
        <f t="shared" si="119"/>
        <v>0.51</v>
      </c>
      <c r="F1095" s="37">
        <f t="shared" si="120"/>
        <v>39454.83</v>
      </c>
      <c r="G1095" s="37">
        <f t="shared" si="121"/>
        <v>20121.963299999999</v>
      </c>
      <c r="H1095" s="36" cm="1">
        <f t="array" ref="H1095">SUMPRODUCT((C1095&gt;tier_floor)*((C1095-tier_floor)*step)*margin_rate)</f>
        <v>13496.963300000001</v>
      </c>
      <c r="I1095" s="37">
        <f t="shared" si="122"/>
        <v>6624.9999999999982</v>
      </c>
      <c r="J1095" s="38">
        <f t="shared" si="123"/>
        <v>2025</v>
      </c>
      <c r="K1095" s="128">
        <f>(1+target)^($J1095-(MIN(tbl_rep_mon[year])))</f>
        <v>1.7490062499999994</v>
      </c>
      <c r="L1095" s="35">
        <f t="shared" si="124"/>
        <v>0.33</v>
      </c>
      <c r="M1095" s="37">
        <f t="shared" si="125"/>
        <v>13020.093900000002</v>
      </c>
    </row>
    <row r="1096" spans="1:13" x14ac:dyDescent="0.4">
      <c r="A1096" t="s">
        <v>44</v>
      </c>
      <c r="B1096">
        <v>3</v>
      </c>
      <c r="C1096" s="36">
        <v>87626.2</v>
      </c>
      <c r="D1096" s="1">
        <v>45839</v>
      </c>
      <c r="E1096" s="35">
        <f t="shared" si="119"/>
        <v>0.51</v>
      </c>
      <c r="F1096" s="37">
        <f t="shared" si="120"/>
        <v>43813.1</v>
      </c>
      <c r="G1096" s="37">
        <f t="shared" si="121"/>
        <v>22344.681</v>
      </c>
      <c r="H1096" s="36" cm="1">
        <f t="array" ref="H1096">SUMPRODUCT((C1096&gt;tier_floor)*((C1096-tier_floor)*step)*margin_rate)</f>
        <v>15719.681</v>
      </c>
      <c r="I1096" s="37">
        <f t="shared" si="122"/>
        <v>6625</v>
      </c>
      <c r="J1096" s="38">
        <f t="shared" si="123"/>
        <v>2025</v>
      </c>
      <c r="K1096" s="128">
        <f>(1+target)^($J1096-(MIN(tbl_rep_mon[year])))</f>
        <v>1.7490062499999994</v>
      </c>
      <c r="L1096" s="35">
        <f t="shared" si="124"/>
        <v>0.42</v>
      </c>
      <c r="M1096" s="37">
        <f t="shared" si="125"/>
        <v>18401.502</v>
      </c>
    </row>
    <row r="1097" spans="1:13" x14ac:dyDescent="0.4">
      <c r="A1097" t="s">
        <v>45</v>
      </c>
      <c r="B1097">
        <v>3</v>
      </c>
      <c r="C1097" s="36">
        <v>82111.83</v>
      </c>
      <c r="D1097" s="1">
        <v>45839</v>
      </c>
      <c r="E1097" s="35">
        <f t="shared" si="119"/>
        <v>0.51</v>
      </c>
      <c r="F1097" s="37">
        <f t="shared" si="120"/>
        <v>41055.915000000001</v>
      </c>
      <c r="G1097" s="37">
        <f t="shared" si="121"/>
        <v>20938.516650000001</v>
      </c>
      <c r="H1097" s="36" cm="1">
        <f t="array" ref="H1097">SUMPRODUCT((C1097&gt;tier_floor)*((C1097-tier_floor)*step)*margin_rate)</f>
        <v>14313.51665</v>
      </c>
      <c r="I1097" s="37">
        <f t="shared" si="122"/>
        <v>6625.0000000000018</v>
      </c>
      <c r="J1097" s="38">
        <f t="shared" si="123"/>
        <v>2025</v>
      </c>
      <c r="K1097" s="128">
        <f>(1+target)^($J1097-(MIN(tbl_rep_mon[year])))</f>
        <v>1.7490062499999994</v>
      </c>
      <c r="L1097" s="35">
        <f t="shared" si="124"/>
        <v>0.33</v>
      </c>
      <c r="M1097" s="37">
        <f t="shared" si="125"/>
        <v>13548.451950000001</v>
      </c>
    </row>
    <row r="1098" spans="1:13" x14ac:dyDescent="0.4">
      <c r="A1098" t="s">
        <v>46</v>
      </c>
      <c r="B1098">
        <v>4</v>
      </c>
      <c r="C1098" s="36">
        <v>69396.08</v>
      </c>
      <c r="D1098" s="1">
        <v>45839</v>
      </c>
      <c r="E1098" s="35">
        <f t="shared" si="119"/>
        <v>0.42</v>
      </c>
      <c r="F1098" s="37">
        <f t="shared" si="120"/>
        <v>34698.04</v>
      </c>
      <c r="G1098" s="37">
        <f t="shared" si="121"/>
        <v>14573.176799999999</v>
      </c>
      <c r="H1098" s="36" cm="1">
        <f t="array" ref="H1098">SUMPRODUCT((C1098&gt;tier_floor)*((C1098-tier_floor)*step)*margin_rate)</f>
        <v>11323.176800000001</v>
      </c>
      <c r="I1098" s="37">
        <f t="shared" si="122"/>
        <v>3249.9999999999982</v>
      </c>
      <c r="J1098" s="38">
        <f t="shared" si="123"/>
        <v>2025</v>
      </c>
      <c r="K1098" s="128">
        <f>(1+target)^($J1098-(MIN(tbl_rep_mon[year])))</f>
        <v>1.7490062499999994</v>
      </c>
      <c r="L1098" s="35">
        <f t="shared" si="124"/>
        <v>0.33</v>
      </c>
      <c r="M1098" s="37">
        <f t="shared" si="125"/>
        <v>11450.353200000001</v>
      </c>
    </row>
    <row r="1099" spans="1:13" x14ac:dyDescent="0.4">
      <c r="A1099" t="s">
        <v>47</v>
      </c>
      <c r="B1099">
        <v>2</v>
      </c>
      <c r="C1099" s="36">
        <v>102514.96</v>
      </c>
      <c r="D1099" s="1">
        <v>45839</v>
      </c>
      <c r="E1099" s="35">
        <f t="shared" si="119"/>
        <v>0.6</v>
      </c>
      <c r="F1099" s="37">
        <f t="shared" si="120"/>
        <v>51257.48</v>
      </c>
      <c r="G1099" s="37">
        <f t="shared" si="121"/>
        <v>30754.488000000001</v>
      </c>
      <c r="H1099" s="36" cm="1">
        <f t="array" ref="H1099">SUMPRODUCT((C1099&gt;tier_floor)*((C1099-tier_floor)*step)*margin_rate)</f>
        <v>19629.488000000005</v>
      </c>
      <c r="I1099" s="37">
        <f t="shared" si="122"/>
        <v>11124.999999999996</v>
      </c>
      <c r="J1099" s="38">
        <f t="shared" si="123"/>
        <v>2025</v>
      </c>
      <c r="K1099" s="128">
        <f>(1+target)^($J1099-(MIN(tbl_rep_mon[year])))</f>
        <v>1.7490062499999994</v>
      </c>
      <c r="L1099" s="35">
        <f t="shared" si="124"/>
        <v>0.42</v>
      </c>
      <c r="M1099" s="37">
        <f t="shared" si="125"/>
        <v>21528.141599999999</v>
      </c>
    </row>
    <row r="1100" spans="1:13" x14ac:dyDescent="0.4">
      <c r="A1100" t="s">
        <v>48</v>
      </c>
      <c r="B1100">
        <v>4</v>
      </c>
      <c r="C1100" s="36">
        <v>85263.5</v>
      </c>
      <c r="D1100" s="1">
        <v>45839</v>
      </c>
      <c r="E1100" s="35">
        <f t="shared" si="119"/>
        <v>0.51</v>
      </c>
      <c r="F1100" s="37">
        <f t="shared" si="120"/>
        <v>42631.75</v>
      </c>
      <c r="G1100" s="37">
        <f t="shared" si="121"/>
        <v>21742.192500000001</v>
      </c>
      <c r="H1100" s="36" cm="1">
        <f t="array" ref="H1100">SUMPRODUCT((C1100&gt;tier_floor)*((C1100-tier_floor)*step)*margin_rate)</f>
        <v>15117.192500000001</v>
      </c>
      <c r="I1100" s="37">
        <f t="shared" si="122"/>
        <v>6625</v>
      </c>
      <c r="J1100" s="38">
        <f t="shared" si="123"/>
        <v>2025</v>
      </c>
      <c r="K1100" s="128">
        <f>(1+target)^($J1100-(MIN(tbl_rep_mon[year])))</f>
        <v>1.7490062499999994</v>
      </c>
      <c r="L1100" s="35">
        <f t="shared" si="124"/>
        <v>0.33</v>
      </c>
      <c r="M1100" s="37">
        <f t="shared" si="125"/>
        <v>14068.477500000001</v>
      </c>
    </row>
    <row r="1101" spans="1:13" x14ac:dyDescent="0.4">
      <c r="A1101" t="s">
        <v>49</v>
      </c>
      <c r="B1101">
        <v>2</v>
      </c>
      <c r="C1101" s="36">
        <v>88044.31</v>
      </c>
      <c r="D1101" s="1">
        <v>45839</v>
      </c>
      <c r="E1101" s="35">
        <f t="shared" si="119"/>
        <v>0.51</v>
      </c>
      <c r="F1101" s="37">
        <f t="shared" si="120"/>
        <v>44022.154999999999</v>
      </c>
      <c r="G1101" s="37">
        <f t="shared" si="121"/>
        <v>22451.299050000001</v>
      </c>
      <c r="H1101" s="36" cm="1">
        <f t="array" ref="H1101">SUMPRODUCT((C1101&gt;tier_floor)*((C1101-tier_floor)*step)*margin_rate)</f>
        <v>15826.29905</v>
      </c>
      <c r="I1101" s="37">
        <f t="shared" si="122"/>
        <v>6625.0000000000018</v>
      </c>
      <c r="J1101" s="38">
        <f t="shared" si="123"/>
        <v>2025</v>
      </c>
      <c r="K1101" s="128">
        <f>(1+target)^($J1101-(MIN(tbl_rep_mon[year])))</f>
        <v>1.7490062499999994</v>
      </c>
      <c r="L1101" s="35">
        <f t="shared" si="124"/>
        <v>0.42</v>
      </c>
      <c r="M1101" s="37">
        <f t="shared" si="125"/>
        <v>18489.305099999998</v>
      </c>
    </row>
    <row r="1102" spans="1:13" x14ac:dyDescent="0.4">
      <c r="A1102" t="s">
        <v>6</v>
      </c>
      <c r="B1102">
        <v>2</v>
      </c>
      <c r="C1102" s="36">
        <v>71898.600000000006</v>
      </c>
      <c r="D1102" s="1">
        <v>45870</v>
      </c>
      <c r="E1102" s="35">
        <f t="shared" si="119"/>
        <v>0.42</v>
      </c>
      <c r="F1102" s="37">
        <f t="shared" si="120"/>
        <v>35949.300000000003</v>
      </c>
      <c r="G1102" s="37">
        <f t="shared" si="121"/>
        <v>15098.706</v>
      </c>
      <c r="H1102" s="36" cm="1">
        <f t="array" ref="H1102">SUMPRODUCT((C1102&gt;tier_floor)*((C1102-tier_floor)*step)*margin_rate)</f>
        <v>11848.706000000002</v>
      </c>
      <c r="I1102" s="37">
        <f t="shared" si="122"/>
        <v>3249.9999999999982</v>
      </c>
      <c r="J1102" s="38">
        <f t="shared" si="123"/>
        <v>2025</v>
      </c>
      <c r="K1102" s="128">
        <f>(1+target)^($J1102-(MIN(tbl_rep_mon[year])))</f>
        <v>1.7490062499999994</v>
      </c>
      <c r="L1102" s="35">
        <f t="shared" si="124"/>
        <v>0.33</v>
      </c>
      <c r="M1102" s="37">
        <f t="shared" si="125"/>
        <v>11863.269000000002</v>
      </c>
    </row>
    <row r="1103" spans="1:13" x14ac:dyDescent="0.4">
      <c r="A1103" t="s">
        <v>15</v>
      </c>
      <c r="B1103">
        <v>3</v>
      </c>
      <c r="C1103" s="36">
        <v>90894.69</v>
      </c>
      <c r="D1103" s="1">
        <v>45870</v>
      </c>
      <c r="E1103" s="35">
        <f t="shared" si="119"/>
        <v>0.51</v>
      </c>
      <c r="F1103" s="37">
        <f t="shared" si="120"/>
        <v>45447.345000000001</v>
      </c>
      <c r="G1103" s="37">
        <f t="shared" si="121"/>
        <v>23178.145950000002</v>
      </c>
      <c r="H1103" s="36" cm="1">
        <f t="array" ref="H1103">SUMPRODUCT((C1103&gt;tier_floor)*((C1103-tier_floor)*step)*margin_rate)</f>
        <v>16553.145949999998</v>
      </c>
      <c r="I1103" s="37">
        <f t="shared" si="122"/>
        <v>6625.0000000000036</v>
      </c>
      <c r="J1103" s="38">
        <f t="shared" si="123"/>
        <v>2025</v>
      </c>
      <c r="K1103" s="128">
        <f>(1+target)^($J1103-(MIN(tbl_rep_mon[year])))</f>
        <v>1.7490062499999994</v>
      </c>
      <c r="L1103" s="35">
        <f t="shared" si="124"/>
        <v>0.42</v>
      </c>
      <c r="M1103" s="37">
        <f t="shared" si="125"/>
        <v>19087.884900000001</v>
      </c>
    </row>
    <row r="1104" spans="1:13" x14ac:dyDescent="0.4">
      <c r="A1104" t="s">
        <v>19</v>
      </c>
      <c r="B1104">
        <v>4</v>
      </c>
      <c r="C1104" s="36">
        <v>87223.06</v>
      </c>
      <c r="D1104" s="1">
        <v>45870</v>
      </c>
      <c r="E1104" s="35">
        <f t="shared" si="119"/>
        <v>0.51</v>
      </c>
      <c r="F1104" s="37">
        <f t="shared" si="120"/>
        <v>43611.53</v>
      </c>
      <c r="G1104" s="37">
        <f t="shared" si="121"/>
        <v>22241.880300000001</v>
      </c>
      <c r="H1104" s="36" cm="1">
        <f t="array" ref="H1104">SUMPRODUCT((C1104&gt;tier_floor)*((C1104-tier_floor)*step)*margin_rate)</f>
        <v>15616.880299999999</v>
      </c>
      <c r="I1104" s="37">
        <f t="shared" si="122"/>
        <v>6625.0000000000018</v>
      </c>
      <c r="J1104" s="38">
        <f t="shared" si="123"/>
        <v>2025</v>
      </c>
      <c r="K1104" s="128">
        <f>(1+target)^($J1104-(MIN(tbl_rep_mon[year])))</f>
        <v>1.7490062499999994</v>
      </c>
      <c r="L1104" s="35">
        <f t="shared" si="124"/>
        <v>0.33</v>
      </c>
      <c r="M1104" s="37">
        <f t="shared" si="125"/>
        <v>14391.804900000001</v>
      </c>
    </row>
    <row r="1105" spans="1:13" x14ac:dyDescent="0.4">
      <c r="A1105" t="s">
        <v>23</v>
      </c>
      <c r="B1105">
        <v>1</v>
      </c>
      <c r="C1105" s="36">
        <v>166651.29</v>
      </c>
      <c r="D1105" s="1">
        <v>45870</v>
      </c>
      <c r="E1105" s="35">
        <f t="shared" si="119"/>
        <v>0.6</v>
      </c>
      <c r="F1105" s="37">
        <f t="shared" si="120"/>
        <v>83325.645000000004</v>
      </c>
      <c r="G1105" s="37">
        <f t="shared" si="121"/>
        <v>49995.387000000002</v>
      </c>
      <c r="H1105" s="36" cm="1">
        <f t="array" ref="H1105">SUMPRODUCT((C1105&gt;tier_floor)*((C1105-tier_floor)*step)*margin_rate)</f>
        <v>38870.387000000002</v>
      </c>
      <c r="I1105" s="37">
        <f t="shared" si="122"/>
        <v>11125</v>
      </c>
      <c r="J1105" s="38">
        <f t="shared" si="123"/>
        <v>2025</v>
      </c>
      <c r="K1105" s="128">
        <f>(1+target)^($J1105-(MIN(tbl_rep_mon[year])))</f>
        <v>1.7490062499999994</v>
      </c>
      <c r="L1105" s="35">
        <f t="shared" si="124"/>
        <v>0.51</v>
      </c>
      <c r="M1105" s="37">
        <f t="shared" si="125"/>
        <v>42496.078950000003</v>
      </c>
    </row>
    <row r="1106" spans="1:13" x14ac:dyDescent="0.4">
      <c r="A1106" t="s">
        <v>24</v>
      </c>
      <c r="B1106">
        <v>3</v>
      </c>
      <c r="C1106" s="36">
        <v>88255.8</v>
      </c>
      <c r="D1106" s="1">
        <v>45870</v>
      </c>
      <c r="E1106" s="35">
        <f t="shared" si="119"/>
        <v>0.51</v>
      </c>
      <c r="F1106" s="37">
        <f t="shared" si="120"/>
        <v>44127.9</v>
      </c>
      <c r="G1106" s="37">
        <f t="shared" si="121"/>
        <v>22505.228999999999</v>
      </c>
      <c r="H1106" s="36" cm="1">
        <f t="array" ref="H1106">SUMPRODUCT((C1106&gt;tier_floor)*((C1106-tier_floor)*step)*margin_rate)</f>
        <v>15880.229000000001</v>
      </c>
      <c r="I1106" s="37">
        <f t="shared" si="122"/>
        <v>6624.9999999999982</v>
      </c>
      <c r="J1106" s="38">
        <f t="shared" si="123"/>
        <v>2025</v>
      </c>
      <c r="K1106" s="128">
        <f>(1+target)^($J1106-(MIN(tbl_rep_mon[year])))</f>
        <v>1.7490062499999994</v>
      </c>
      <c r="L1106" s="35">
        <f t="shared" si="124"/>
        <v>0.42</v>
      </c>
      <c r="M1106" s="37">
        <f t="shared" si="125"/>
        <v>18533.718000000001</v>
      </c>
    </row>
    <row r="1107" spans="1:13" x14ac:dyDescent="0.4">
      <c r="A1107" t="s">
        <v>29</v>
      </c>
      <c r="B1107">
        <v>1</v>
      </c>
      <c r="C1107" s="36">
        <v>120111.1</v>
      </c>
      <c r="D1107" s="1">
        <v>45870</v>
      </c>
      <c r="E1107" s="35">
        <f t="shared" si="119"/>
        <v>0.6</v>
      </c>
      <c r="F1107" s="37">
        <f t="shared" si="120"/>
        <v>60055.55</v>
      </c>
      <c r="G1107" s="37">
        <f t="shared" si="121"/>
        <v>36033.33</v>
      </c>
      <c r="H1107" s="36" cm="1">
        <f t="array" ref="H1107">SUMPRODUCT((C1107&gt;tier_floor)*((C1107-tier_floor)*step)*margin_rate)</f>
        <v>24908.33</v>
      </c>
      <c r="I1107" s="37">
        <f t="shared" si="122"/>
        <v>11125</v>
      </c>
      <c r="J1107" s="38">
        <f t="shared" si="123"/>
        <v>2025</v>
      </c>
      <c r="K1107" s="128">
        <f>(1+target)^($J1107-(MIN(tbl_rep_mon[year])))</f>
        <v>1.7490062499999994</v>
      </c>
      <c r="L1107" s="35">
        <f t="shared" si="124"/>
        <v>0.42</v>
      </c>
      <c r="M1107" s="37">
        <f t="shared" si="125"/>
        <v>25223.331000000002</v>
      </c>
    </row>
    <row r="1108" spans="1:13" x14ac:dyDescent="0.4">
      <c r="A1108" t="s">
        <v>32</v>
      </c>
      <c r="B1108">
        <v>4</v>
      </c>
      <c r="C1108" s="36">
        <v>84219.47</v>
      </c>
      <c r="D1108" s="1">
        <v>45870</v>
      </c>
      <c r="E1108" s="35">
        <f t="shared" si="119"/>
        <v>0.51</v>
      </c>
      <c r="F1108" s="37">
        <f t="shared" si="120"/>
        <v>42109.735000000001</v>
      </c>
      <c r="G1108" s="37">
        <f t="shared" si="121"/>
        <v>21475.96485</v>
      </c>
      <c r="H1108" s="36" cm="1">
        <f t="array" ref="H1108">SUMPRODUCT((C1108&gt;tier_floor)*((C1108-tier_floor)*step)*margin_rate)</f>
        <v>14850.96485</v>
      </c>
      <c r="I1108" s="37">
        <f t="shared" si="122"/>
        <v>6625</v>
      </c>
      <c r="J1108" s="38">
        <f t="shared" si="123"/>
        <v>2025</v>
      </c>
      <c r="K1108" s="128">
        <f>(1+target)^($J1108-(MIN(tbl_rep_mon[year])))</f>
        <v>1.7490062499999994</v>
      </c>
      <c r="L1108" s="35">
        <f t="shared" si="124"/>
        <v>0.33</v>
      </c>
      <c r="M1108" s="37">
        <f t="shared" si="125"/>
        <v>13896.21255</v>
      </c>
    </row>
    <row r="1109" spans="1:13" x14ac:dyDescent="0.4">
      <c r="A1109" t="s">
        <v>33</v>
      </c>
      <c r="B1109">
        <v>3</v>
      </c>
      <c r="C1109" s="36">
        <v>81400.789999999994</v>
      </c>
      <c r="D1109" s="1">
        <v>45870</v>
      </c>
      <c r="E1109" s="35">
        <f t="shared" si="119"/>
        <v>0.51</v>
      </c>
      <c r="F1109" s="37">
        <f t="shared" si="120"/>
        <v>40700.394999999997</v>
      </c>
      <c r="G1109" s="37">
        <f t="shared" si="121"/>
        <v>20757.20145</v>
      </c>
      <c r="H1109" s="36" cm="1">
        <f t="array" ref="H1109">SUMPRODUCT((C1109&gt;tier_floor)*((C1109-tier_floor)*step)*margin_rate)</f>
        <v>14132.201449999999</v>
      </c>
      <c r="I1109" s="37">
        <f t="shared" si="122"/>
        <v>6625.0000000000018</v>
      </c>
      <c r="J1109" s="38">
        <f t="shared" si="123"/>
        <v>2025</v>
      </c>
      <c r="K1109" s="128">
        <f>(1+target)^($J1109-(MIN(tbl_rep_mon[year])))</f>
        <v>1.7490062499999994</v>
      </c>
      <c r="L1109" s="35">
        <f t="shared" si="124"/>
        <v>0.33</v>
      </c>
      <c r="M1109" s="37">
        <f t="shared" si="125"/>
        <v>13431.130349999999</v>
      </c>
    </row>
    <row r="1110" spans="1:13" x14ac:dyDescent="0.4">
      <c r="A1110" t="s">
        <v>34</v>
      </c>
      <c r="B1110">
        <v>4</v>
      </c>
      <c r="C1110" s="36">
        <v>65687.039999999994</v>
      </c>
      <c r="D1110" s="1">
        <v>45870</v>
      </c>
      <c r="E1110" s="35">
        <f t="shared" si="119"/>
        <v>0.42</v>
      </c>
      <c r="F1110" s="37">
        <f t="shared" si="120"/>
        <v>32843.519999999997</v>
      </c>
      <c r="G1110" s="37">
        <f t="shared" si="121"/>
        <v>13794.278399999997</v>
      </c>
      <c r="H1110" s="36" cm="1">
        <f t="array" ref="H1110">SUMPRODUCT((C1110&gt;tier_floor)*((C1110-tier_floor)*step)*margin_rate)</f>
        <v>10544.278399999999</v>
      </c>
      <c r="I1110" s="37">
        <f t="shared" si="122"/>
        <v>3249.9999999999982</v>
      </c>
      <c r="J1110" s="38">
        <f t="shared" si="123"/>
        <v>2025</v>
      </c>
      <c r="K1110" s="128">
        <f>(1+target)^($J1110-(MIN(tbl_rep_mon[year])))</f>
        <v>1.7490062499999994</v>
      </c>
      <c r="L1110" s="35">
        <f t="shared" si="124"/>
        <v>0.33</v>
      </c>
      <c r="M1110" s="37">
        <f t="shared" si="125"/>
        <v>10838.3616</v>
      </c>
    </row>
    <row r="1111" spans="1:13" x14ac:dyDescent="0.4">
      <c r="A1111" t="s">
        <v>35</v>
      </c>
      <c r="B1111">
        <v>4</v>
      </c>
      <c r="C1111" s="36">
        <v>69373.97</v>
      </c>
      <c r="D1111" s="1">
        <v>45870</v>
      </c>
      <c r="E1111" s="35">
        <f t="shared" si="119"/>
        <v>0.42</v>
      </c>
      <c r="F1111" s="37">
        <f t="shared" si="120"/>
        <v>34686.985000000001</v>
      </c>
      <c r="G1111" s="37">
        <f t="shared" si="121"/>
        <v>14568.5337</v>
      </c>
      <c r="H1111" s="36" cm="1">
        <f t="array" ref="H1111">SUMPRODUCT((C1111&gt;tier_floor)*((C1111-tier_floor)*step)*margin_rate)</f>
        <v>11318.5337</v>
      </c>
      <c r="I1111" s="37">
        <f t="shared" si="122"/>
        <v>3250</v>
      </c>
      <c r="J1111" s="38">
        <f t="shared" si="123"/>
        <v>2025</v>
      </c>
      <c r="K1111" s="128">
        <f>(1+target)^($J1111-(MIN(tbl_rep_mon[year])))</f>
        <v>1.7490062499999994</v>
      </c>
      <c r="L1111" s="35">
        <f t="shared" si="124"/>
        <v>0.33</v>
      </c>
      <c r="M1111" s="37">
        <f t="shared" si="125"/>
        <v>11446.70505</v>
      </c>
    </row>
    <row r="1112" spans="1:13" x14ac:dyDescent="0.4">
      <c r="A1112" t="s">
        <v>37</v>
      </c>
      <c r="B1112">
        <v>4</v>
      </c>
      <c r="C1112" s="36">
        <v>107107.02</v>
      </c>
      <c r="D1112" s="1">
        <v>45870</v>
      </c>
      <c r="E1112" s="35">
        <f t="shared" si="119"/>
        <v>0.6</v>
      </c>
      <c r="F1112" s="37">
        <f t="shared" si="120"/>
        <v>53553.51</v>
      </c>
      <c r="G1112" s="37">
        <f t="shared" si="121"/>
        <v>32132.106</v>
      </c>
      <c r="H1112" s="36" cm="1">
        <f t="array" ref="H1112">SUMPRODUCT((C1112&gt;tier_floor)*((C1112-tier_floor)*step)*margin_rate)</f>
        <v>21007.106000000003</v>
      </c>
      <c r="I1112" s="37">
        <f t="shared" si="122"/>
        <v>11124.999999999996</v>
      </c>
      <c r="J1112" s="38">
        <f t="shared" si="123"/>
        <v>2025</v>
      </c>
      <c r="K1112" s="128">
        <f>(1+target)^($J1112-(MIN(tbl_rep_mon[year])))</f>
        <v>1.7490062499999994</v>
      </c>
      <c r="L1112" s="35">
        <f t="shared" si="124"/>
        <v>0.42</v>
      </c>
      <c r="M1112" s="37">
        <f t="shared" si="125"/>
        <v>22492.474200000001</v>
      </c>
    </row>
    <row r="1113" spans="1:13" x14ac:dyDescent="0.4">
      <c r="A1113" t="s">
        <v>38</v>
      </c>
      <c r="B1113">
        <v>2</v>
      </c>
      <c r="C1113" s="36">
        <v>99951.99</v>
      </c>
      <c r="D1113" s="1">
        <v>45870</v>
      </c>
      <c r="E1113" s="35">
        <f t="shared" si="119"/>
        <v>0.51</v>
      </c>
      <c r="F1113" s="37">
        <f t="shared" si="120"/>
        <v>49975.995000000003</v>
      </c>
      <c r="G1113" s="37">
        <f t="shared" si="121"/>
        <v>25487.757450000001</v>
      </c>
      <c r="H1113" s="36" cm="1">
        <f t="array" ref="H1113">SUMPRODUCT((C1113&gt;tier_floor)*((C1113-tier_floor)*step)*margin_rate)</f>
        <v>18862.757450000001</v>
      </c>
      <c r="I1113" s="37">
        <f t="shared" si="122"/>
        <v>6625</v>
      </c>
      <c r="J1113" s="38">
        <f t="shared" si="123"/>
        <v>2025</v>
      </c>
      <c r="K1113" s="128">
        <f>(1+target)^($J1113-(MIN(tbl_rep_mon[year])))</f>
        <v>1.7490062499999994</v>
      </c>
      <c r="L1113" s="35">
        <f t="shared" si="124"/>
        <v>0.42</v>
      </c>
      <c r="M1113" s="37">
        <f t="shared" si="125"/>
        <v>20989.9179</v>
      </c>
    </row>
    <row r="1114" spans="1:13" x14ac:dyDescent="0.4">
      <c r="A1114" t="s">
        <v>39</v>
      </c>
      <c r="B1114">
        <v>2</v>
      </c>
      <c r="C1114" s="36">
        <v>82724.88</v>
      </c>
      <c r="D1114" s="1">
        <v>45870</v>
      </c>
      <c r="E1114" s="35">
        <f t="shared" si="119"/>
        <v>0.51</v>
      </c>
      <c r="F1114" s="37">
        <f t="shared" si="120"/>
        <v>41362.44</v>
      </c>
      <c r="G1114" s="37">
        <f t="shared" si="121"/>
        <v>21094.844400000002</v>
      </c>
      <c r="H1114" s="36" cm="1">
        <f t="array" ref="H1114">SUMPRODUCT((C1114&gt;tier_floor)*((C1114-tier_floor)*step)*margin_rate)</f>
        <v>14469.844400000002</v>
      </c>
      <c r="I1114" s="37">
        <f t="shared" si="122"/>
        <v>6625</v>
      </c>
      <c r="J1114" s="38">
        <f t="shared" si="123"/>
        <v>2025</v>
      </c>
      <c r="K1114" s="128">
        <f>(1+target)^($J1114-(MIN(tbl_rep_mon[year])))</f>
        <v>1.7490062499999994</v>
      </c>
      <c r="L1114" s="35">
        <f t="shared" si="124"/>
        <v>0.33</v>
      </c>
      <c r="M1114" s="37">
        <f t="shared" si="125"/>
        <v>13649.605200000002</v>
      </c>
    </row>
    <row r="1115" spans="1:13" x14ac:dyDescent="0.4">
      <c r="A1115" t="s">
        <v>43</v>
      </c>
      <c r="B1115">
        <v>4</v>
      </c>
      <c r="C1115" s="36">
        <v>66670.929999999993</v>
      </c>
      <c r="D1115" s="1">
        <v>45870</v>
      </c>
      <c r="E1115" s="35">
        <f t="shared" si="119"/>
        <v>0.42</v>
      </c>
      <c r="F1115" s="37">
        <f t="shared" si="120"/>
        <v>33335.464999999997</v>
      </c>
      <c r="G1115" s="37">
        <f t="shared" si="121"/>
        <v>14000.895299999998</v>
      </c>
      <c r="H1115" s="36" cm="1">
        <f t="array" ref="H1115">SUMPRODUCT((C1115&gt;tier_floor)*((C1115-tier_floor)*step)*margin_rate)</f>
        <v>10750.895299999998</v>
      </c>
      <c r="I1115" s="37">
        <f t="shared" si="122"/>
        <v>3250</v>
      </c>
      <c r="J1115" s="38">
        <f t="shared" si="123"/>
        <v>2025</v>
      </c>
      <c r="K1115" s="128">
        <f>(1+target)^($J1115-(MIN(tbl_rep_mon[year])))</f>
        <v>1.7490062499999994</v>
      </c>
      <c r="L1115" s="35">
        <f t="shared" si="124"/>
        <v>0.33</v>
      </c>
      <c r="M1115" s="37">
        <f t="shared" si="125"/>
        <v>11000.703449999999</v>
      </c>
    </row>
    <row r="1116" spans="1:13" x14ac:dyDescent="0.4">
      <c r="A1116" t="s">
        <v>44</v>
      </c>
      <c r="B1116">
        <v>3</v>
      </c>
      <c r="C1116" s="36">
        <v>84619.14</v>
      </c>
      <c r="D1116" s="1">
        <v>45870</v>
      </c>
      <c r="E1116" s="35">
        <f t="shared" si="119"/>
        <v>0.51</v>
      </c>
      <c r="F1116" s="37">
        <f t="shared" si="120"/>
        <v>42309.57</v>
      </c>
      <c r="G1116" s="37">
        <f t="shared" si="121"/>
        <v>21577.880700000002</v>
      </c>
      <c r="H1116" s="36" cm="1">
        <f t="array" ref="H1116">SUMPRODUCT((C1116&gt;tier_floor)*((C1116-tier_floor)*step)*margin_rate)</f>
        <v>14952.8807</v>
      </c>
      <c r="I1116" s="37">
        <f t="shared" si="122"/>
        <v>6625.0000000000018</v>
      </c>
      <c r="J1116" s="38">
        <f t="shared" si="123"/>
        <v>2025</v>
      </c>
      <c r="K1116" s="128">
        <f>(1+target)^($J1116-(MIN(tbl_rep_mon[year])))</f>
        <v>1.7490062499999994</v>
      </c>
      <c r="L1116" s="35">
        <f t="shared" si="124"/>
        <v>0.33</v>
      </c>
      <c r="M1116" s="37">
        <f t="shared" si="125"/>
        <v>13962.158100000001</v>
      </c>
    </row>
    <row r="1117" spans="1:13" x14ac:dyDescent="0.4">
      <c r="A1117" t="s">
        <v>45</v>
      </c>
      <c r="B1117">
        <v>3</v>
      </c>
      <c r="C1117" s="36">
        <v>104991.34</v>
      </c>
      <c r="D1117" s="1">
        <v>45870</v>
      </c>
      <c r="E1117" s="35">
        <f t="shared" si="119"/>
        <v>0.6</v>
      </c>
      <c r="F1117" s="37">
        <f t="shared" si="120"/>
        <v>52495.67</v>
      </c>
      <c r="G1117" s="37">
        <f t="shared" si="121"/>
        <v>31497.401999999998</v>
      </c>
      <c r="H1117" s="36" cm="1">
        <f t="array" ref="H1117">SUMPRODUCT((C1117&gt;tier_floor)*((C1117-tier_floor)*step)*margin_rate)</f>
        <v>20372.402000000002</v>
      </c>
      <c r="I1117" s="37">
        <f t="shared" si="122"/>
        <v>11124.999999999996</v>
      </c>
      <c r="J1117" s="38">
        <f t="shared" si="123"/>
        <v>2025</v>
      </c>
      <c r="K1117" s="128">
        <f>(1+target)^($J1117-(MIN(tbl_rep_mon[year])))</f>
        <v>1.7490062499999994</v>
      </c>
      <c r="L1117" s="35">
        <f t="shared" si="124"/>
        <v>0.42</v>
      </c>
      <c r="M1117" s="37">
        <f t="shared" si="125"/>
        <v>22048.181399999998</v>
      </c>
    </row>
    <row r="1118" spans="1:13" x14ac:dyDescent="0.4">
      <c r="A1118" t="s">
        <v>46</v>
      </c>
      <c r="B1118">
        <v>4</v>
      </c>
      <c r="C1118" s="36">
        <v>60249.72</v>
      </c>
      <c r="D1118" s="1">
        <v>45870</v>
      </c>
      <c r="E1118" s="35">
        <f t="shared" si="119"/>
        <v>0.42</v>
      </c>
      <c r="F1118" s="37">
        <f t="shared" si="120"/>
        <v>30124.86</v>
      </c>
      <c r="G1118" s="37">
        <f t="shared" si="121"/>
        <v>12652.441199999999</v>
      </c>
      <c r="H1118" s="36" cm="1">
        <f t="array" ref="H1118">SUMPRODUCT((C1118&gt;tier_floor)*((C1118-tier_floor)*step)*margin_rate)</f>
        <v>9402.4412000000011</v>
      </c>
      <c r="I1118" s="37">
        <f t="shared" si="122"/>
        <v>3249.9999999999982</v>
      </c>
      <c r="J1118" s="38">
        <f t="shared" si="123"/>
        <v>2025</v>
      </c>
      <c r="K1118" s="128">
        <f>(1+target)^($J1118-(MIN(tbl_rep_mon[year])))</f>
        <v>1.7490062499999994</v>
      </c>
      <c r="L1118" s="35">
        <f t="shared" si="124"/>
        <v>0.33</v>
      </c>
      <c r="M1118" s="37">
        <f t="shared" si="125"/>
        <v>9941.2038000000011</v>
      </c>
    </row>
    <row r="1119" spans="1:13" x14ac:dyDescent="0.4">
      <c r="A1119" t="s">
        <v>47</v>
      </c>
      <c r="B1119">
        <v>2</v>
      </c>
      <c r="C1119" s="36">
        <v>95324.62</v>
      </c>
      <c r="D1119" s="1">
        <v>45870</v>
      </c>
      <c r="E1119" s="35">
        <f t="shared" si="119"/>
        <v>0.51</v>
      </c>
      <c r="F1119" s="37">
        <f t="shared" si="120"/>
        <v>47662.31</v>
      </c>
      <c r="G1119" s="37">
        <f t="shared" si="121"/>
        <v>24307.7781</v>
      </c>
      <c r="H1119" s="36" cm="1">
        <f t="array" ref="H1119">SUMPRODUCT((C1119&gt;tier_floor)*((C1119-tier_floor)*step)*margin_rate)</f>
        <v>17682.7781</v>
      </c>
      <c r="I1119" s="37">
        <f t="shared" si="122"/>
        <v>6625</v>
      </c>
      <c r="J1119" s="38">
        <f t="shared" si="123"/>
        <v>2025</v>
      </c>
      <c r="K1119" s="128">
        <f>(1+target)^($J1119-(MIN(tbl_rep_mon[year])))</f>
        <v>1.7490062499999994</v>
      </c>
      <c r="L1119" s="35">
        <f t="shared" si="124"/>
        <v>0.42</v>
      </c>
      <c r="M1119" s="37">
        <f t="shared" si="125"/>
        <v>20018.170199999997</v>
      </c>
    </row>
    <row r="1120" spans="1:13" x14ac:dyDescent="0.4">
      <c r="A1120" t="s">
        <v>48</v>
      </c>
      <c r="B1120">
        <v>4</v>
      </c>
      <c r="C1120" s="36">
        <v>71418.09</v>
      </c>
      <c r="D1120" s="1">
        <v>45870</v>
      </c>
      <c r="E1120" s="35">
        <f t="shared" si="119"/>
        <v>0.42</v>
      </c>
      <c r="F1120" s="37">
        <f t="shared" si="120"/>
        <v>35709.044999999998</v>
      </c>
      <c r="G1120" s="37">
        <f t="shared" si="121"/>
        <v>14997.798899999998</v>
      </c>
      <c r="H1120" s="36" cm="1">
        <f t="array" ref="H1120">SUMPRODUCT((C1120&gt;tier_floor)*((C1120-tier_floor)*step)*margin_rate)</f>
        <v>11747.7989</v>
      </c>
      <c r="I1120" s="37">
        <f t="shared" si="122"/>
        <v>3249.9999999999982</v>
      </c>
      <c r="J1120" s="38">
        <f t="shared" si="123"/>
        <v>2025</v>
      </c>
      <c r="K1120" s="128">
        <f>(1+target)^($J1120-(MIN(tbl_rep_mon[year])))</f>
        <v>1.7490062499999994</v>
      </c>
      <c r="L1120" s="35">
        <f t="shared" si="124"/>
        <v>0.33</v>
      </c>
      <c r="M1120" s="37">
        <f t="shared" si="125"/>
        <v>11783.984850000001</v>
      </c>
    </row>
    <row r="1121" spans="1:13" x14ac:dyDescent="0.4">
      <c r="A1121" t="s">
        <v>49</v>
      </c>
      <c r="B1121">
        <v>2</v>
      </c>
      <c r="C1121" s="36">
        <v>100788.4</v>
      </c>
      <c r="D1121" s="1">
        <v>45870</v>
      </c>
      <c r="E1121" s="35">
        <f t="shared" si="119"/>
        <v>0.6</v>
      </c>
      <c r="F1121" s="37">
        <f t="shared" si="120"/>
        <v>50394.2</v>
      </c>
      <c r="G1121" s="37">
        <f t="shared" si="121"/>
        <v>30236.519999999997</v>
      </c>
      <c r="H1121" s="36" cm="1">
        <f t="array" ref="H1121">SUMPRODUCT((C1121&gt;tier_floor)*((C1121-tier_floor)*step)*margin_rate)</f>
        <v>19111.519999999997</v>
      </c>
      <c r="I1121" s="37">
        <f t="shared" si="122"/>
        <v>11125</v>
      </c>
      <c r="J1121" s="38">
        <f t="shared" si="123"/>
        <v>2025</v>
      </c>
      <c r="K1121" s="128">
        <f>(1+target)^($J1121-(MIN(tbl_rep_mon[year])))</f>
        <v>1.7490062499999994</v>
      </c>
      <c r="L1121" s="35">
        <f t="shared" si="124"/>
        <v>0.42</v>
      </c>
      <c r="M1121" s="37">
        <f t="shared" si="125"/>
        <v>21165.563999999998</v>
      </c>
    </row>
    <row r="1122" spans="1:13" x14ac:dyDescent="0.4">
      <c r="A1122" t="s">
        <v>6</v>
      </c>
      <c r="B1122">
        <v>2</v>
      </c>
      <c r="C1122" s="36">
        <v>73093.820000000007</v>
      </c>
      <c r="D1122" s="1">
        <v>45901</v>
      </c>
      <c r="E1122" s="35">
        <f t="shared" si="119"/>
        <v>0.42</v>
      </c>
      <c r="F1122" s="37">
        <f t="shared" si="120"/>
        <v>36546.910000000003</v>
      </c>
      <c r="G1122" s="37">
        <f t="shared" si="121"/>
        <v>15349.702200000002</v>
      </c>
      <c r="H1122" s="36" cm="1">
        <f t="array" ref="H1122">SUMPRODUCT((C1122&gt;tier_floor)*((C1122-tier_floor)*step)*margin_rate)</f>
        <v>12099.702200000002</v>
      </c>
      <c r="I1122" s="37">
        <f t="shared" si="122"/>
        <v>3250</v>
      </c>
      <c r="J1122" s="38">
        <f t="shared" si="123"/>
        <v>2025</v>
      </c>
      <c r="K1122" s="128">
        <f>(1+target)^($J1122-(MIN(tbl_rep_mon[year])))</f>
        <v>1.7490062499999994</v>
      </c>
      <c r="L1122" s="35">
        <f t="shared" si="124"/>
        <v>0.33</v>
      </c>
      <c r="M1122" s="37">
        <f t="shared" si="125"/>
        <v>12060.480300000001</v>
      </c>
    </row>
    <row r="1123" spans="1:13" x14ac:dyDescent="0.4">
      <c r="A1123" t="s">
        <v>15</v>
      </c>
      <c r="B1123">
        <v>3</v>
      </c>
      <c r="C1123" s="36">
        <v>88902.87</v>
      </c>
      <c r="D1123" s="1">
        <v>45901</v>
      </c>
      <c r="E1123" s="35">
        <f t="shared" si="119"/>
        <v>0.51</v>
      </c>
      <c r="F1123" s="37">
        <f t="shared" si="120"/>
        <v>44451.434999999998</v>
      </c>
      <c r="G1123" s="37">
        <f t="shared" si="121"/>
        <v>22670.23185</v>
      </c>
      <c r="H1123" s="36" cm="1">
        <f t="array" ref="H1123">SUMPRODUCT((C1123&gt;tier_floor)*((C1123-tier_floor)*step)*margin_rate)</f>
        <v>16045.231849999998</v>
      </c>
      <c r="I1123" s="37">
        <f t="shared" si="122"/>
        <v>6625.0000000000018</v>
      </c>
      <c r="J1123" s="38">
        <f t="shared" si="123"/>
        <v>2025</v>
      </c>
      <c r="K1123" s="128">
        <f>(1+target)^($J1123-(MIN(tbl_rep_mon[year])))</f>
        <v>1.7490062499999994</v>
      </c>
      <c r="L1123" s="35">
        <f t="shared" si="124"/>
        <v>0.42</v>
      </c>
      <c r="M1123" s="37">
        <f t="shared" si="125"/>
        <v>18669.602699999999</v>
      </c>
    </row>
    <row r="1124" spans="1:13" x14ac:dyDescent="0.4">
      <c r="A1124" t="s">
        <v>19</v>
      </c>
      <c r="B1124">
        <v>4</v>
      </c>
      <c r="C1124" s="36">
        <v>60960.66</v>
      </c>
      <c r="D1124" s="1">
        <v>45901</v>
      </c>
      <c r="E1124" s="35">
        <f t="shared" si="119"/>
        <v>0.42</v>
      </c>
      <c r="F1124" s="37">
        <f t="shared" si="120"/>
        <v>30480.33</v>
      </c>
      <c r="G1124" s="37">
        <f t="shared" si="121"/>
        <v>12801.738600000001</v>
      </c>
      <c r="H1124" s="36" cm="1">
        <f t="array" ref="H1124">SUMPRODUCT((C1124&gt;tier_floor)*((C1124-tier_floor)*step)*margin_rate)</f>
        <v>9551.7386000000006</v>
      </c>
      <c r="I1124" s="37">
        <f t="shared" si="122"/>
        <v>3250</v>
      </c>
      <c r="J1124" s="38">
        <f t="shared" si="123"/>
        <v>2025</v>
      </c>
      <c r="K1124" s="128">
        <f>(1+target)^($J1124-(MIN(tbl_rep_mon[year])))</f>
        <v>1.7490062499999994</v>
      </c>
      <c r="L1124" s="35">
        <f t="shared" si="124"/>
        <v>0.33</v>
      </c>
      <c r="M1124" s="37">
        <f t="shared" si="125"/>
        <v>10058.508900000001</v>
      </c>
    </row>
    <row r="1125" spans="1:13" x14ac:dyDescent="0.4">
      <c r="A1125" t="s">
        <v>23</v>
      </c>
      <c r="B1125">
        <v>1</v>
      </c>
      <c r="C1125" s="36">
        <v>152887.57</v>
      </c>
      <c r="D1125" s="1">
        <v>45901</v>
      </c>
      <c r="E1125" s="35">
        <f t="shared" si="119"/>
        <v>0.6</v>
      </c>
      <c r="F1125" s="37">
        <f t="shared" si="120"/>
        <v>76443.785000000003</v>
      </c>
      <c r="G1125" s="37">
        <f t="shared" si="121"/>
        <v>45866.271000000001</v>
      </c>
      <c r="H1125" s="36" cm="1">
        <f t="array" ref="H1125">SUMPRODUCT((C1125&gt;tier_floor)*((C1125-tier_floor)*step)*margin_rate)</f>
        <v>34741.271000000001</v>
      </c>
      <c r="I1125" s="37">
        <f t="shared" si="122"/>
        <v>11125</v>
      </c>
      <c r="J1125" s="38">
        <f t="shared" si="123"/>
        <v>2025</v>
      </c>
      <c r="K1125" s="128">
        <f>(1+target)^($J1125-(MIN(tbl_rep_mon[year])))</f>
        <v>1.7490062499999994</v>
      </c>
      <c r="L1125" s="35">
        <f t="shared" si="124"/>
        <v>0.51</v>
      </c>
      <c r="M1125" s="37">
        <f t="shared" si="125"/>
        <v>38986.330350000004</v>
      </c>
    </row>
    <row r="1126" spans="1:13" x14ac:dyDescent="0.4">
      <c r="A1126" t="s">
        <v>24</v>
      </c>
      <c r="B1126">
        <v>3</v>
      </c>
      <c r="C1126" s="36">
        <v>27301.02</v>
      </c>
      <c r="D1126" s="1">
        <v>45901</v>
      </c>
      <c r="E1126" s="35">
        <f t="shared" si="119"/>
        <v>0.33</v>
      </c>
      <c r="F1126" s="37">
        <f t="shared" si="120"/>
        <v>13650.51</v>
      </c>
      <c r="G1126" s="37">
        <f t="shared" si="121"/>
        <v>4504.6683000000003</v>
      </c>
      <c r="H1126" s="36" cm="1">
        <f t="array" ref="H1126">SUMPRODUCT((C1126&gt;tier_floor)*((C1126-tier_floor)*step)*margin_rate)</f>
        <v>3504.6683000000003</v>
      </c>
      <c r="I1126" s="37">
        <f t="shared" si="122"/>
        <v>1000</v>
      </c>
      <c r="J1126" s="38">
        <f t="shared" si="123"/>
        <v>2025</v>
      </c>
      <c r="K1126" s="128">
        <f>(1+target)^($J1126-(MIN(tbl_rep_mon[year])))</f>
        <v>1.7490062499999994</v>
      </c>
      <c r="L1126" s="35">
        <f t="shared" si="124"/>
        <v>0.25</v>
      </c>
      <c r="M1126" s="37">
        <f t="shared" si="125"/>
        <v>3412.6275000000001</v>
      </c>
    </row>
    <row r="1127" spans="1:13" x14ac:dyDescent="0.4">
      <c r="A1127" t="s">
        <v>29</v>
      </c>
      <c r="B1127">
        <v>1</v>
      </c>
      <c r="C1127" s="36">
        <v>135433.39000000001</v>
      </c>
      <c r="D1127" s="1">
        <v>45901</v>
      </c>
      <c r="E1127" s="35">
        <f t="shared" si="119"/>
        <v>0.6</v>
      </c>
      <c r="F1127" s="37">
        <f t="shared" si="120"/>
        <v>67716.695000000007</v>
      </c>
      <c r="G1127" s="37">
        <f t="shared" si="121"/>
        <v>40630.017</v>
      </c>
      <c r="H1127" s="36" cm="1">
        <f t="array" ref="H1127">SUMPRODUCT((C1127&gt;tier_floor)*((C1127-tier_floor)*step)*margin_rate)</f>
        <v>29505.017000000007</v>
      </c>
      <c r="I1127" s="37">
        <f t="shared" si="122"/>
        <v>11124.999999999993</v>
      </c>
      <c r="J1127" s="38">
        <f t="shared" si="123"/>
        <v>2025</v>
      </c>
      <c r="K1127" s="128">
        <f>(1+target)^($J1127-(MIN(tbl_rep_mon[year])))</f>
        <v>1.7490062499999994</v>
      </c>
      <c r="L1127" s="35">
        <f t="shared" si="124"/>
        <v>0.51</v>
      </c>
      <c r="M1127" s="37">
        <f t="shared" si="125"/>
        <v>34535.514450000002</v>
      </c>
    </row>
    <row r="1128" spans="1:13" x14ac:dyDescent="0.4">
      <c r="A1128" t="s">
        <v>32</v>
      </c>
      <c r="B1128">
        <v>4</v>
      </c>
      <c r="C1128" s="36">
        <v>75770.38</v>
      </c>
      <c r="D1128" s="1">
        <v>45901</v>
      </c>
      <c r="E1128" s="35">
        <f t="shared" si="119"/>
        <v>0.51</v>
      </c>
      <c r="F1128" s="37">
        <f t="shared" si="120"/>
        <v>37885.19</v>
      </c>
      <c r="G1128" s="37">
        <f t="shared" si="121"/>
        <v>19321.446900000003</v>
      </c>
      <c r="H1128" s="36" cm="1">
        <f t="array" ref="H1128">SUMPRODUCT((C1128&gt;tier_floor)*((C1128-tier_floor)*step)*margin_rate)</f>
        <v>12696.446900000003</v>
      </c>
      <c r="I1128" s="37">
        <f t="shared" si="122"/>
        <v>6625</v>
      </c>
      <c r="J1128" s="38">
        <f t="shared" si="123"/>
        <v>2025</v>
      </c>
      <c r="K1128" s="128">
        <f>(1+target)^($J1128-(MIN(tbl_rep_mon[year])))</f>
        <v>1.7490062499999994</v>
      </c>
      <c r="L1128" s="35">
        <f t="shared" si="124"/>
        <v>0.33</v>
      </c>
      <c r="M1128" s="37">
        <f t="shared" si="125"/>
        <v>12502.112700000001</v>
      </c>
    </row>
    <row r="1129" spans="1:13" x14ac:dyDescent="0.4">
      <c r="A1129" t="s">
        <v>33</v>
      </c>
      <c r="B1129">
        <v>3</v>
      </c>
      <c r="C1129" s="36">
        <v>67382.710000000006</v>
      </c>
      <c r="D1129" s="1">
        <v>45901</v>
      </c>
      <c r="E1129" s="35">
        <f t="shared" si="119"/>
        <v>0.42</v>
      </c>
      <c r="F1129" s="37">
        <f t="shared" si="120"/>
        <v>33691.355000000003</v>
      </c>
      <c r="G1129" s="37">
        <f t="shared" si="121"/>
        <v>14150.369100000002</v>
      </c>
      <c r="H1129" s="36" cm="1">
        <f t="array" ref="H1129">SUMPRODUCT((C1129&gt;tier_floor)*((C1129-tier_floor)*step)*margin_rate)</f>
        <v>10900.3691</v>
      </c>
      <c r="I1129" s="37">
        <f t="shared" si="122"/>
        <v>3250.0000000000018</v>
      </c>
      <c r="J1129" s="38">
        <f t="shared" si="123"/>
        <v>2025</v>
      </c>
      <c r="K1129" s="128">
        <f>(1+target)^($J1129-(MIN(tbl_rep_mon[year])))</f>
        <v>1.7490062499999994</v>
      </c>
      <c r="L1129" s="35">
        <f t="shared" si="124"/>
        <v>0.33</v>
      </c>
      <c r="M1129" s="37">
        <f t="shared" si="125"/>
        <v>11118.147150000001</v>
      </c>
    </row>
    <row r="1130" spans="1:13" x14ac:dyDescent="0.4">
      <c r="A1130" t="s">
        <v>34</v>
      </c>
      <c r="B1130">
        <v>4</v>
      </c>
      <c r="C1130" s="36">
        <v>67646.27</v>
      </c>
      <c r="D1130" s="1">
        <v>45901</v>
      </c>
      <c r="E1130" s="35">
        <f t="shared" si="119"/>
        <v>0.42</v>
      </c>
      <c r="F1130" s="37">
        <f t="shared" si="120"/>
        <v>33823.135000000002</v>
      </c>
      <c r="G1130" s="37">
        <f t="shared" si="121"/>
        <v>14205.716700000001</v>
      </c>
      <c r="H1130" s="36" cm="1">
        <f t="array" ref="H1130">SUMPRODUCT((C1130&gt;tier_floor)*((C1130-tier_floor)*step)*margin_rate)</f>
        <v>10955.716700000001</v>
      </c>
      <c r="I1130" s="37">
        <f t="shared" si="122"/>
        <v>3250</v>
      </c>
      <c r="J1130" s="38">
        <f t="shared" si="123"/>
        <v>2025</v>
      </c>
      <c r="K1130" s="128">
        <f>(1+target)^($J1130-(MIN(tbl_rep_mon[year])))</f>
        <v>1.7490062499999994</v>
      </c>
      <c r="L1130" s="35">
        <f t="shared" si="124"/>
        <v>0.33</v>
      </c>
      <c r="M1130" s="37">
        <f t="shared" si="125"/>
        <v>11161.634550000001</v>
      </c>
    </row>
    <row r="1131" spans="1:13" x14ac:dyDescent="0.4">
      <c r="A1131" t="s">
        <v>35</v>
      </c>
      <c r="B1131">
        <v>4</v>
      </c>
      <c r="C1131" s="36">
        <v>70133.53</v>
      </c>
      <c r="D1131" s="1">
        <v>45901</v>
      </c>
      <c r="E1131" s="35">
        <f t="shared" si="119"/>
        <v>0.42</v>
      </c>
      <c r="F1131" s="37">
        <f t="shared" si="120"/>
        <v>35066.764999999999</v>
      </c>
      <c r="G1131" s="37">
        <f t="shared" si="121"/>
        <v>14728.041299999999</v>
      </c>
      <c r="H1131" s="36" cm="1">
        <f t="array" ref="H1131">SUMPRODUCT((C1131&gt;tier_floor)*((C1131-tier_floor)*step)*margin_rate)</f>
        <v>11478.041300000001</v>
      </c>
      <c r="I1131" s="37">
        <f t="shared" si="122"/>
        <v>3249.9999999999982</v>
      </c>
      <c r="J1131" s="38">
        <f t="shared" si="123"/>
        <v>2025</v>
      </c>
      <c r="K1131" s="128">
        <f>(1+target)^($J1131-(MIN(tbl_rep_mon[year])))</f>
        <v>1.7490062499999994</v>
      </c>
      <c r="L1131" s="35">
        <f t="shared" si="124"/>
        <v>0.33</v>
      </c>
      <c r="M1131" s="37">
        <f t="shared" si="125"/>
        <v>11572.032450000001</v>
      </c>
    </row>
    <row r="1132" spans="1:13" x14ac:dyDescent="0.4">
      <c r="A1132" t="s">
        <v>37</v>
      </c>
      <c r="B1132">
        <v>4</v>
      </c>
      <c r="C1132" s="36">
        <v>74779.47</v>
      </c>
      <c r="D1132" s="1">
        <v>45901</v>
      </c>
      <c r="E1132" s="35">
        <f t="shared" si="119"/>
        <v>0.42</v>
      </c>
      <c r="F1132" s="37">
        <f t="shared" si="120"/>
        <v>37389.735000000001</v>
      </c>
      <c r="G1132" s="37">
        <f t="shared" si="121"/>
        <v>15703.688699999999</v>
      </c>
      <c r="H1132" s="36" cm="1">
        <f t="array" ref="H1132">SUMPRODUCT((C1132&gt;tier_floor)*((C1132-tier_floor)*step)*margin_rate)</f>
        <v>12453.688699999999</v>
      </c>
      <c r="I1132" s="37">
        <f t="shared" si="122"/>
        <v>3250</v>
      </c>
      <c r="J1132" s="38">
        <f t="shared" si="123"/>
        <v>2025</v>
      </c>
      <c r="K1132" s="128">
        <f>(1+target)^($J1132-(MIN(tbl_rep_mon[year])))</f>
        <v>1.7490062499999994</v>
      </c>
      <c r="L1132" s="35">
        <f t="shared" si="124"/>
        <v>0.33</v>
      </c>
      <c r="M1132" s="37">
        <f t="shared" si="125"/>
        <v>12338.612550000002</v>
      </c>
    </row>
    <row r="1133" spans="1:13" x14ac:dyDescent="0.4">
      <c r="A1133" t="s">
        <v>38</v>
      </c>
      <c r="B1133">
        <v>2</v>
      </c>
      <c r="C1133" s="36">
        <v>116096.84</v>
      </c>
      <c r="D1133" s="1">
        <v>45901</v>
      </c>
      <c r="E1133" s="35">
        <f t="shared" si="119"/>
        <v>0.6</v>
      </c>
      <c r="F1133" s="37">
        <f t="shared" si="120"/>
        <v>58048.42</v>
      </c>
      <c r="G1133" s="37">
        <f t="shared" si="121"/>
        <v>34829.051999999996</v>
      </c>
      <c r="H1133" s="36" cm="1">
        <f t="array" ref="H1133">SUMPRODUCT((C1133&gt;tier_floor)*((C1133-tier_floor)*step)*margin_rate)</f>
        <v>23704.051999999996</v>
      </c>
      <c r="I1133" s="37">
        <f t="shared" si="122"/>
        <v>11125</v>
      </c>
      <c r="J1133" s="38">
        <f t="shared" si="123"/>
        <v>2025</v>
      </c>
      <c r="K1133" s="128">
        <f>(1+target)^($J1133-(MIN(tbl_rep_mon[year])))</f>
        <v>1.7490062499999994</v>
      </c>
      <c r="L1133" s="35">
        <f t="shared" si="124"/>
        <v>0.42</v>
      </c>
      <c r="M1133" s="37">
        <f t="shared" si="125"/>
        <v>24380.3364</v>
      </c>
    </row>
    <row r="1134" spans="1:13" x14ac:dyDescent="0.4">
      <c r="A1134" t="s">
        <v>39</v>
      </c>
      <c r="B1134">
        <v>2</v>
      </c>
      <c r="C1134" s="36">
        <v>90173.05</v>
      </c>
      <c r="D1134" s="1">
        <v>45901</v>
      </c>
      <c r="E1134" s="35">
        <f t="shared" si="119"/>
        <v>0.51</v>
      </c>
      <c r="F1134" s="37">
        <f t="shared" si="120"/>
        <v>45086.525000000001</v>
      </c>
      <c r="G1134" s="37">
        <f t="shared" si="121"/>
        <v>22994.12775</v>
      </c>
      <c r="H1134" s="36" cm="1">
        <f t="array" ref="H1134">SUMPRODUCT((C1134&gt;tier_floor)*((C1134-tier_floor)*step)*margin_rate)</f>
        <v>16369.12775</v>
      </c>
      <c r="I1134" s="37">
        <f t="shared" si="122"/>
        <v>6625</v>
      </c>
      <c r="J1134" s="38">
        <f t="shared" si="123"/>
        <v>2025</v>
      </c>
      <c r="K1134" s="128">
        <f>(1+target)^($J1134-(MIN(tbl_rep_mon[year])))</f>
        <v>1.7490062499999994</v>
      </c>
      <c r="L1134" s="35">
        <f t="shared" si="124"/>
        <v>0.42</v>
      </c>
      <c r="M1134" s="37">
        <f t="shared" si="125"/>
        <v>18936.340499999998</v>
      </c>
    </row>
    <row r="1135" spans="1:13" x14ac:dyDescent="0.4">
      <c r="A1135" t="s">
        <v>43</v>
      </c>
      <c r="B1135">
        <v>4</v>
      </c>
      <c r="C1135" s="36">
        <v>84668.72</v>
      </c>
      <c r="D1135" s="1">
        <v>45901</v>
      </c>
      <c r="E1135" s="35">
        <f t="shared" si="119"/>
        <v>0.51</v>
      </c>
      <c r="F1135" s="37">
        <f t="shared" si="120"/>
        <v>42334.36</v>
      </c>
      <c r="G1135" s="37">
        <f t="shared" si="121"/>
        <v>21590.5236</v>
      </c>
      <c r="H1135" s="36" cm="1">
        <f t="array" ref="H1135">SUMPRODUCT((C1135&gt;tier_floor)*((C1135-tier_floor)*step)*margin_rate)</f>
        <v>14965.5236</v>
      </c>
      <c r="I1135" s="37">
        <f t="shared" si="122"/>
        <v>6625</v>
      </c>
      <c r="J1135" s="38">
        <f t="shared" si="123"/>
        <v>2025</v>
      </c>
      <c r="K1135" s="128">
        <f>(1+target)^($J1135-(MIN(tbl_rep_mon[year])))</f>
        <v>1.7490062499999994</v>
      </c>
      <c r="L1135" s="35">
        <f t="shared" si="124"/>
        <v>0.33</v>
      </c>
      <c r="M1135" s="37">
        <f t="shared" si="125"/>
        <v>13970.338800000001</v>
      </c>
    </row>
    <row r="1136" spans="1:13" x14ac:dyDescent="0.4">
      <c r="A1136" t="s">
        <v>44</v>
      </c>
      <c r="B1136">
        <v>3</v>
      </c>
      <c r="C1136" s="36">
        <v>53497.94</v>
      </c>
      <c r="D1136" s="1">
        <v>45901</v>
      </c>
      <c r="E1136" s="35">
        <f t="shared" si="119"/>
        <v>0.42</v>
      </c>
      <c r="F1136" s="37">
        <f t="shared" si="120"/>
        <v>26748.97</v>
      </c>
      <c r="G1136" s="37">
        <f t="shared" si="121"/>
        <v>11234.5674</v>
      </c>
      <c r="H1136" s="36" cm="1">
        <f t="array" ref="H1136">SUMPRODUCT((C1136&gt;tier_floor)*((C1136-tier_floor)*step)*margin_rate)</f>
        <v>7984.5674000000008</v>
      </c>
      <c r="I1136" s="37">
        <f t="shared" si="122"/>
        <v>3249.9999999999991</v>
      </c>
      <c r="J1136" s="38">
        <f t="shared" si="123"/>
        <v>2025</v>
      </c>
      <c r="K1136" s="128">
        <f>(1+target)^($J1136-(MIN(tbl_rep_mon[year])))</f>
        <v>1.7490062499999994</v>
      </c>
      <c r="L1136" s="35">
        <f t="shared" si="124"/>
        <v>0.33</v>
      </c>
      <c r="M1136" s="37">
        <f t="shared" si="125"/>
        <v>8827.160100000001</v>
      </c>
    </row>
    <row r="1137" spans="1:13" x14ac:dyDescent="0.4">
      <c r="A1137" t="s">
        <v>45</v>
      </c>
      <c r="B1137">
        <v>3</v>
      </c>
      <c r="C1137" s="36">
        <v>94532.57</v>
      </c>
      <c r="D1137" s="1">
        <v>45901</v>
      </c>
      <c r="E1137" s="35">
        <f t="shared" si="119"/>
        <v>0.51</v>
      </c>
      <c r="F1137" s="37">
        <f t="shared" si="120"/>
        <v>47266.285000000003</v>
      </c>
      <c r="G1137" s="37">
        <f t="shared" si="121"/>
        <v>24105.805350000002</v>
      </c>
      <c r="H1137" s="36" cm="1">
        <f t="array" ref="H1137">SUMPRODUCT((C1137&gt;tier_floor)*((C1137-tier_floor)*step)*margin_rate)</f>
        <v>17480.805350000002</v>
      </c>
      <c r="I1137" s="37">
        <f t="shared" si="122"/>
        <v>6625</v>
      </c>
      <c r="J1137" s="38">
        <f t="shared" si="123"/>
        <v>2025</v>
      </c>
      <c r="K1137" s="128">
        <f>(1+target)^($J1137-(MIN(tbl_rep_mon[year])))</f>
        <v>1.7490062499999994</v>
      </c>
      <c r="L1137" s="35">
        <f t="shared" si="124"/>
        <v>0.42</v>
      </c>
      <c r="M1137" s="37">
        <f t="shared" si="125"/>
        <v>19851.8397</v>
      </c>
    </row>
    <row r="1138" spans="1:13" x14ac:dyDescent="0.4">
      <c r="A1138" t="s">
        <v>46</v>
      </c>
      <c r="B1138">
        <v>4</v>
      </c>
      <c r="C1138" s="36">
        <v>69664.210000000006</v>
      </c>
      <c r="D1138" s="1">
        <v>45901</v>
      </c>
      <c r="E1138" s="35">
        <f t="shared" si="119"/>
        <v>0.42</v>
      </c>
      <c r="F1138" s="37">
        <f t="shared" si="120"/>
        <v>34832.105000000003</v>
      </c>
      <c r="G1138" s="37">
        <f t="shared" si="121"/>
        <v>14629.484100000001</v>
      </c>
      <c r="H1138" s="36" cm="1">
        <f t="array" ref="H1138">SUMPRODUCT((C1138&gt;tier_floor)*((C1138-tier_floor)*step)*margin_rate)</f>
        <v>11379.484100000001</v>
      </c>
      <c r="I1138" s="37">
        <f t="shared" si="122"/>
        <v>3250</v>
      </c>
      <c r="J1138" s="38">
        <f t="shared" si="123"/>
        <v>2025</v>
      </c>
      <c r="K1138" s="128">
        <f>(1+target)^($J1138-(MIN(tbl_rep_mon[year])))</f>
        <v>1.7490062499999994</v>
      </c>
      <c r="L1138" s="35">
        <f t="shared" si="124"/>
        <v>0.33</v>
      </c>
      <c r="M1138" s="37">
        <f t="shared" si="125"/>
        <v>11494.594650000001</v>
      </c>
    </row>
    <row r="1139" spans="1:13" x14ac:dyDescent="0.4">
      <c r="A1139" t="s">
        <v>47</v>
      </c>
      <c r="B1139">
        <v>2</v>
      </c>
      <c r="C1139" s="36">
        <v>97095.9</v>
      </c>
      <c r="D1139" s="1">
        <v>45901</v>
      </c>
      <c r="E1139" s="35">
        <f t="shared" si="119"/>
        <v>0.51</v>
      </c>
      <c r="F1139" s="37">
        <f t="shared" si="120"/>
        <v>48547.95</v>
      </c>
      <c r="G1139" s="37">
        <f t="shared" si="121"/>
        <v>24759.4545</v>
      </c>
      <c r="H1139" s="36" cm="1">
        <f t="array" ref="H1139">SUMPRODUCT((C1139&gt;tier_floor)*((C1139-tier_floor)*step)*margin_rate)</f>
        <v>18134.454499999996</v>
      </c>
      <c r="I1139" s="37">
        <f t="shared" si="122"/>
        <v>6625.0000000000036</v>
      </c>
      <c r="J1139" s="38">
        <f t="shared" si="123"/>
        <v>2025</v>
      </c>
      <c r="K1139" s="128">
        <f>(1+target)^($J1139-(MIN(tbl_rep_mon[year])))</f>
        <v>1.7490062499999994</v>
      </c>
      <c r="L1139" s="35">
        <f t="shared" si="124"/>
        <v>0.42</v>
      </c>
      <c r="M1139" s="37">
        <f t="shared" si="125"/>
        <v>20390.138999999999</v>
      </c>
    </row>
    <row r="1140" spans="1:13" x14ac:dyDescent="0.4">
      <c r="A1140" t="s">
        <v>48</v>
      </c>
      <c r="B1140">
        <v>4</v>
      </c>
      <c r="C1140" s="36">
        <v>72215.72</v>
      </c>
      <c r="D1140" s="1">
        <v>45901</v>
      </c>
      <c r="E1140" s="35">
        <f t="shared" si="119"/>
        <v>0.42</v>
      </c>
      <c r="F1140" s="37">
        <f t="shared" si="120"/>
        <v>36107.86</v>
      </c>
      <c r="G1140" s="37">
        <f t="shared" si="121"/>
        <v>15165.3012</v>
      </c>
      <c r="H1140" s="36" cm="1">
        <f t="array" ref="H1140">SUMPRODUCT((C1140&gt;tier_floor)*((C1140-tier_floor)*step)*margin_rate)</f>
        <v>11915.3012</v>
      </c>
      <c r="I1140" s="37">
        <f t="shared" si="122"/>
        <v>3250</v>
      </c>
      <c r="J1140" s="38">
        <f t="shared" si="123"/>
        <v>2025</v>
      </c>
      <c r="K1140" s="128">
        <f>(1+target)^($J1140-(MIN(tbl_rep_mon[year])))</f>
        <v>1.7490062499999994</v>
      </c>
      <c r="L1140" s="35">
        <f t="shared" si="124"/>
        <v>0.33</v>
      </c>
      <c r="M1140" s="37">
        <f t="shared" si="125"/>
        <v>11915.593800000001</v>
      </c>
    </row>
    <row r="1141" spans="1:13" x14ac:dyDescent="0.4">
      <c r="A1141" t="s">
        <v>49</v>
      </c>
      <c r="B1141">
        <v>2</v>
      </c>
      <c r="C1141" s="36">
        <v>87811.07</v>
      </c>
      <c r="D1141" s="1">
        <v>45901</v>
      </c>
      <c r="E1141" s="35">
        <f t="shared" si="119"/>
        <v>0.51</v>
      </c>
      <c r="F1141" s="37">
        <f t="shared" si="120"/>
        <v>43905.535000000003</v>
      </c>
      <c r="G1141" s="37">
        <f t="shared" si="121"/>
        <v>22391.82285</v>
      </c>
      <c r="H1141" s="36" cm="1">
        <f t="array" ref="H1141">SUMPRODUCT((C1141&gt;tier_floor)*((C1141-tier_floor)*step)*margin_rate)</f>
        <v>15766.822850000002</v>
      </c>
      <c r="I1141" s="37">
        <f t="shared" si="122"/>
        <v>6624.9999999999982</v>
      </c>
      <c r="J1141" s="38">
        <f t="shared" si="123"/>
        <v>2025</v>
      </c>
      <c r="K1141" s="128">
        <f>(1+target)^($J1141-(MIN(tbl_rep_mon[year])))</f>
        <v>1.7490062499999994</v>
      </c>
      <c r="L1141" s="35">
        <f t="shared" si="124"/>
        <v>0.42</v>
      </c>
      <c r="M1141" s="37">
        <f t="shared" si="125"/>
        <v>18440.324700000001</v>
      </c>
    </row>
    <row r="1142" spans="1:13" x14ac:dyDescent="0.4">
      <c r="A1142" t="s">
        <v>6</v>
      </c>
      <c r="B1142">
        <v>2</v>
      </c>
      <c r="C1142" s="36">
        <v>74746.460000000006</v>
      </c>
      <c r="D1142" s="1">
        <v>45931</v>
      </c>
      <c r="E1142" s="35">
        <f t="shared" si="119"/>
        <v>0.42</v>
      </c>
      <c r="F1142" s="37">
        <f t="shared" si="120"/>
        <v>37373.230000000003</v>
      </c>
      <c r="G1142" s="37">
        <f t="shared" si="121"/>
        <v>15696.756600000001</v>
      </c>
      <c r="H1142" s="36" cm="1">
        <f t="array" ref="H1142">SUMPRODUCT((C1142&gt;tier_floor)*((C1142-tier_floor)*step)*margin_rate)</f>
        <v>12446.756600000002</v>
      </c>
      <c r="I1142" s="37">
        <f t="shared" si="122"/>
        <v>3249.9999999999982</v>
      </c>
      <c r="J1142" s="38">
        <f t="shared" si="123"/>
        <v>2025</v>
      </c>
      <c r="K1142" s="128">
        <f>(1+target)^($J1142-(MIN(tbl_rep_mon[year])))</f>
        <v>1.7490062499999994</v>
      </c>
      <c r="L1142" s="35">
        <f t="shared" si="124"/>
        <v>0.33</v>
      </c>
      <c r="M1142" s="37">
        <f t="shared" si="125"/>
        <v>12333.165900000002</v>
      </c>
    </row>
    <row r="1143" spans="1:13" x14ac:dyDescent="0.4">
      <c r="A1143" t="s">
        <v>15</v>
      </c>
      <c r="B1143">
        <v>3</v>
      </c>
      <c r="C1143" s="36">
        <v>98462.53</v>
      </c>
      <c r="D1143" s="1">
        <v>45931</v>
      </c>
      <c r="E1143" s="35">
        <f t="shared" si="119"/>
        <v>0.51</v>
      </c>
      <c r="F1143" s="37">
        <f t="shared" si="120"/>
        <v>49231.264999999999</v>
      </c>
      <c r="G1143" s="37">
        <f t="shared" si="121"/>
        <v>25107.94515</v>
      </c>
      <c r="H1143" s="36" cm="1">
        <f t="array" ref="H1143">SUMPRODUCT((C1143&gt;tier_floor)*((C1143-tier_floor)*step)*margin_rate)</f>
        <v>18482.94515</v>
      </c>
      <c r="I1143" s="37">
        <f t="shared" si="122"/>
        <v>6625</v>
      </c>
      <c r="J1143" s="38">
        <f t="shared" si="123"/>
        <v>2025</v>
      </c>
      <c r="K1143" s="128">
        <f>(1+target)^($J1143-(MIN(tbl_rep_mon[year])))</f>
        <v>1.7490062499999994</v>
      </c>
      <c r="L1143" s="35">
        <f t="shared" si="124"/>
        <v>0.42</v>
      </c>
      <c r="M1143" s="37">
        <f t="shared" si="125"/>
        <v>20677.131299999997</v>
      </c>
    </row>
    <row r="1144" spans="1:13" x14ac:dyDescent="0.4">
      <c r="A1144" t="s">
        <v>19</v>
      </c>
      <c r="B1144">
        <v>4</v>
      </c>
      <c r="C1144" s="36">
        <v>54865.19</v>
      </c>
      <c r="D1144" s="1">
        <v>45931</v>
      </c>
      <c r="E1144" s="35">
        <f t="shared" si="119"/>
        <v>0.42</v>
      </c>
      <c r="F1144" s="37">
        <f t="shared" si="120"/>
        <v>27432.595000000001</v>
      </c>
      <c r="G1144" s="37">
        <f t="shared" si="121"/>
        <v>11521.689899999999</v>
      </c>
      <c r="H1144" s="36" cm="1">
        <f t="array" ref="H1144">SUMPRODUCT((C1144&gt;tier_floor)*((C1144-tier_floor)*step)*margin_rate)</f>
        <v>8271.6899000000012</v>
      </c>
      <c r="I1144" s="37">
        <f t="shared" si="122"/>
        <v>3249.9999999999982</v>
      </c>
      <c r="J1144" s="38">
        <f t="shared" si="123"/>
        <v>2025</v>
      </c>
      <c r="K1144" s="128">
        <f>(1+target)^($J1144-(MIN(tbl_rep_mon[year])))</f>
        <v>1.7490062499999994</v>
      </c>
      <c r="L1144" s="35">
        <f t="shared" si="124"/>
        <v>0.33</v>
      </c>
      <c r="M1144" s="37">
        <f t="shared" si="125"/>
        <v>9052.7563500000015</v>
      </c>
    </row>
    <row r="1145" spans="1:13" x14ac:dyDescent="0.4">
      <c r="A1145" t="s">
        <v>23</v>
      </c>
      <c r="B1145">
        <v>1</v>
      </c>
      <c r="C1145" s="36">
        <v>168574.73</v>
      </c>
      <c r="D1145" s="1">
        <v>45931</v>
      </c>
      <c r="E1145" s="35">
        <f t="shared" si="119"/>
        <v>0.6</v>
      </c>
      <c r="F1145" s="37">
        <f t="shared" si="120"/>
        <v>84287.365000000005</v>
      </c>
      <c r="G1145" s="37">
        <f t="shared" si="121"/>
        <v>50572.419000000002</v>
      </c>
      <c r="H1145" s="36" cm="1">
        <f t="array" ref="H1145">SUMPRODUCT((C1145&gt;tier_floor)*((C1145-tier_floor)*step)*margin_rate)</f>
        <v>39447.419000000002</v>
      </c>
      <c r="I1145" s="37">
        <f t="shared" si="122"/>
        <v>11125</v>
      </c>
      <c r="J1145" s="38">
        <f t="shared" si="123"/>
        <v>2025</v>
      </c>
      <c r="K1145" s="128">
        <f>(1+target)^($J1145-(MIN(tbl_rep_mon[year])))</f>
        <v>1.7490062499999994</v>
      </c>
      <c r="L1145" s="35">
        <f t="shared" si="124"/>
        <v>0.51</v>
      </c>
      <c r="M1145" s="37">
        <f t="shared" si="125"/>
        <v>42986.556150000004</v>
      </c>
    </row>
    <row r="1146" spans="1:13" x14ac:dyDescent="0.4">
      <c r="A1146" t="s">
        <v>29</v>
      </c>
      <c r="B1146">
        <v>1</v>
      </c>
      <c r="C1146" s="36">
        <v>154227.94</v>
      </c>
      <c r="D1146" s="1">
        <v>45931</v>
      </c>
      <c r="E1146" s="35">
        <f t="shared" si="119"/>
        <v>0.6</v>
      </c>
      <c r="F1146" s="37">
        <f t="shared" si="120"/>
        <v>77113.97</v>
      </c>
      <c r="G1146" s="37">
        <f t="shared" si="121"/>
        <v>46268.381999999998</v>
      </c>
      <c r="H1146" s="36" cm="1">
        <f t="array" ref="H1146">SUMPRODUCT((C1146&gt;tier_floor)*((C1146-tier_floor)*step)*margin_rate)</f>
        <v>35143.381999999998</v>
      </c>
      <c r="I1146" s="37">
        <f t="shared" si="122"/>
        <v>11125</v>
      </c>
      <c r="J1146" s="38">
        <f t="shared" si="123"/>
        <v>2025</v>
      </c>
      <c r="K1146" s="128">
        <f>(1+target)^($J1146-(MIN(tbl_rep_mon[year])))</f>
        <v>1.7490062499999994</v>
      </c>
      <c r="L1146" s="35">
        <f t="shared" si="124"/>
        <v>0.51</v>
      </c>
      <c r="M1146" s="37">
        <f t="shared" si="125"/>
        <v>39328.1247</v>
      </c>
    </row>
    <row r="1147" spans="1:13" x14ac:dyDescent="0.4">
      <c r="A1147" t="s">
        <v>32</v>
      </c>
      <c r="B1147">
        <v>4</v>
      </c>
      <c r="C1147" s="36">
        <v>80658.880000000005</v>
      </c>
      <c r="D1147" s="1">
        <v>45931</v>
      </c>
      <c r="E1147" s="35">
        <f t="shared" si="119"/>
        <v>0.51</v>
      </c>
      <c r="F1147" s="37">
        <f t="shared" si="120"/>
        <v>40329.440000000002</v>
      </c>
      <c r="G1147" s="37">
        <f t="shared" si="121"/>
        <v>20568.0144</v>
      </c>
      <c r="H1147" s="36" cm="1">
        <f t="array" ref="H1147">SUMPRODUCT((C1147&gt;tier_floor)*((C1147-tier_floor)*step)*margin_rate)</f>
        <v>13943.0144</v>
      </c>
      <c r="I1147" s="37">
        <f t="shared" si="122"/>
        <v>6625</v>
      </c>
      <c r="J1147" s="38">
        <f t="shared" si="123"/>
        <v>2025</v>
      </c>
      <c r="K1147" s="128">
        <f>(1+target)^($J1147-(MIN(tbl_rep_mon[year])))</f>
        <v>1.7490062499999994</v>
      </c>
      <c r="L1147" s="35">
        <f t="shared" si="124"/>
        <v>0.33</v>
      </c>
      <c r="M1147" s="37">
        <f t="shared" si="125"/>
        <v>13308.715200000001</v>
      </c>
    </row>
    <row r="1148" spans="1:13" x14ac:dyDescent="0.4">
      <c r="A1148" t="s">
        <v>33</v>
      </c>
      <c r="B1148">
        <v>3</v>
      </c>
      <c r="C1148" s="36">
        <v>71591.8</v>
      </c>
      <c r="D1148" s="1">
        <v>45931</v>
      </c>
      <c r="E1148" s="35">
        <f t="shared" si="119"/>
        <v>0.42</v>
      </c>
      <c r="F1148" s="37">
        <f t="shared" si="120"/>
        <v>35795.9</v>
      </c>
      <c r="G1148" s="37">
        <f t="shared" si="121"/>
        <v>15034.278</v>
      </c>
      <c r="H1148" s="36" cm="1">
        <f t="array" ref="H1148">SUMPRODUCT((C1148&gt;tier_floor)*((C1148-tier_floor)*step)*margin_rate)</f>
        <v>11784.278</v>
      </c>
      <c r="I1148" s="37">
        <f t="shared" si="122"/>
        <v>3250</v>
      </c>
      <c r="J1148" s="38">
        <f t="shared" si="123"/>
        <v>2025</v>
      </c>
      <c r="K1148" s="128">
        <f>(1+target)^($J1148-(MIN(tbl_rep_mon[year])))</f>
        <v>1.7490062499999994</v>
      </c>
      <c r="L1148" s="35">
        <f t="shared" si="124"/>
        <v>0.33</v>
      </c>
      <c r="M1148" s="37">
        <f t="shared" si="125"/>
        <v>11812.647000000001</v>
      </c>
    </row>
    <row r="1149" spans="1:13" x14ac:dyDescent="0.4">
      <c r="A1149" t="s">
        <v>34</v>
      </c>
      <c r="B1149">
        <v>4</v>
      </c>
      <c r="C1149" s="36">
        <v>87783.15</v>
      </c>
      <c r="D1149" s="1">
        <v>45931</v>
      </c>
      <c r="E1149" s="35">
        <f t="shared" si="119"/>
        <v>0.51</v>
      </c>
      <c r="F1149" s="37">
        <f t="shared" si="120"/>
        <v>43891.574999999997</v>
      </c>
      <c r="G1149" s="37">
        <f t="shared" si="121"/>
        <v>22384.703249999999</v>
      </c>
      <c r="H1149" s="36" cm="1">
        <f t="array" ref="H1149">SUMPRODUCT((C1149&gt;tier_floor)*((C1149-tier_floor)*step)*margin_rate)</f>
        <v>15759.703249999999</v>
      </c>
      <c r="I1149" s="37">
        <f t="shared" si="122"/>
        <v>6625</v>
      </c>
      <c r="J1149" s="38">
        <f t="shared" si="123"/>
        <v>2025</v>
      </c>
      <c r="K1149" s="128">
        <f>(1+target)^($J1149-(MIN(tbl_rep_mon[year])))</f>
        <v>1.7490062499999994</v>
      </c>
      <c r="L1149" s="35">
        <f t="shared" si="124"/>
        <v>0.42</v>
      </c>
      <c r="M1149" s="37">
        <f t="shared" si="125"/>
        <v>18434.461499999998</v>
      </c>
    </row>
    <row r="1150" spans="1:13" x14ac:dyDescent="0.4">
      <c r="A1150" t="s">
        <v>35</v>
      </c>
      <c r="B1150">
        <v>4</v>
      </c>
      <c r="C1150" s="36">
        <v>78807.429999999993</v>
      </c>
      <c r="D1150" s="1">
        <v>45931</v>
      </c>
      <c r="E1150" s="35">
        <f t="shared" si="119"/>
        <v>0.51</v>
      </c>
      <c r="F1150" s="37">
        <f t="shared" si="120"/>
        <v>39403.714999999997</v>
      </c>
      <c r="G1150" s="37">
        <f t="shared" si="121"/>
        <v>20095.894649999998</v>
      </c>
      <c r="H1150" s="36" cm="1">
        <f t="array" ref="H1150">SUMPRODUCT((C1150&gt;tier_floor)*((C1150-tier_floor)*step)*margin_rate)</f>
        <v>13470.894649999998</v>
      </c>
      <c r="I1150" s="37">
        <f t="shared" si="122"/>
        <v>6625</v>
      </c>
      <c r="J1150" s="38">
        <f t="shared" si="123"/>
        <v>2025</v>
      </c>
      <c r="K1150" s="128">
        <f>(1+target)^($J1150-(MIN(tbl_rep_mon[year])))</f>
        <v>1.7490062499999994</v>
      </c>
      <c r="L1150" s="35">
        <f t="shared" si="124"/>
        <v>0.33</v>
      </c>
      <c r="M1150" s="37">
        <f t="shared" si="125"/>
        <v>13003.22595</v>
      </c>
    </row>
    <row r="1151" spans="1:13" x14ac:dyDescent="0.4">
      <c r="A1151" t="s">
        <v>37</v>
      </c>
      <c r="B1151">
        <v>4</v>
      </c>
      <c r="C1151" s="36">
        <v>83535.45</v>
      </c>
      <c r="D1151" s="1">
        <v>45931</v>
      </c>
      <c r="E1151" s="35">
        <f t="shared" si="119"/>
        <v>0.51</v>
      </c>
      <c r="F1151" s="37">
        <f t="shared" si="120"/>
        <v>41767.724999999999</v>
      </c>
      <c r="G1151" s="37">
        <f t="shared" si="121"/>
        <v>21301.53975</v>
      </c>
      <c r="H1151" s="36" cm="1">
        <f t="array" ref="H1151">SUMPRODUCT((C1151&gt;tier_floor)*((C1151-tier_floor)*step)*margin_rate)</f>
        <v>14676.539749999998</v>
      </c>
      <c r="I1151" s="37">
        <f t="shared" si="122"/>
        <v>6625.0000000000018</v>
      </c>
      <c r="J1151" s="38">
        <f t="shared" si="123"/>
        <v>2025</v>
      </c>
      <c r="K1151" s="128">
        <f>(1+target)^($J1151-(MIN(tbl_rep_mon[year])))</f>
        <v>1.7490062499999994</v>
      </c>
      <c r="L1151" s="35">
        <f t="shared" si="124"/>
        <v>0.33</v>
      </c>
      <c r="M1151" s="37">
        <f t="shared" si="125"/>
        <v>13783.349249999999</v>
      </c>
    </row>
    <row r="1152" spans="1:13" x14ac:dyDescent="0.4">
      <c r="A1152" t="s">
        <v>38</v>
      </c>
      <c r="B1152">
        <v>2</v>
      </c>
      <c r="C1152" s="36">
        <v>94545.18</v>
      </c>
      <c r="D1152" s="1">
        <v>45931</v>
      </c>
      <c r="E1152" s="35">
        <f t="shared" si="119"/>
        <v>0.51</v>
      </c>
      <c r="F1152" s="37">
        <f t="shared" si="120"/>
        <v>47272.59</v>
      </c>
      <c r="G1152" s="37">
        <f t="shared" si="121"/>
        <v>24109.0209</v>
      </c>
      <c r="H1152" s="36" cm="1">
        <f t="array" ref="H1152">SUMPRODUCT((C1152&gt;tier_floor)*((C1152-tier_floor)*step)*margin_rate)</f>
        <v>17484.0209</v>
      </c>
      <c r="I1152" s="37">
        <f t="shared" si="122"/>
        <v>6625</v>
      </c>
      <c r="J1152" s="38">
        <f t="shared" si="123"/>
        <v>2025</v>
      </c>
      <c r="K1152" s="128">
        <f>(1+target)^($J1152-(MIN(tbl_rep_mon[year])))</f>
        <v>1.7490062499999994</v>
      </c>
      <c r="L1152" s="35">
        <f t="shared" si="124"/>
        <v>0.42</v>
      </c>
      <c r="M1152" s="37">
        <f t="shared" si="125"/>
        <v>19854.487799999999</v>
      </c>
    </row>
    <row r="1153" spans="1:13" x14ac:dyDescent="0.4">
      <c r="A1153" t="s">
        <v>39</v>
      </c>
      <c r="B1153">
        <v>2</v>
      </c>
      <c r="C1153" s="36">
        <v>98843.07</v>
      </c>
      <c r="D1153" s="1">
        <v>45931</v>
      </c>
      <c r="E1153" s="35">
        <f t="shared" si="119"/>
        <v>0.51</v>
      </c>
      <c r="F1153" s="37">
        <f t="shared" si="120"/>
        <v>49421.535000000003</v>
      </c>
      <c r="G1153" s="37">
        <f t="shared" si="121"/>
        <v>25204.982850000004</v>
      </c>
      <c r="H1153" s="36" cm="1">
        <f t="array" ref="H1153">SUMPRODUCT((C1153&gt;tier_floor)*((C1153-tier_floor)*step)*margin_rate)</f>
        <v>18579.982850000004</v>
      </c>
      <c r="I1153" s="37">
        <f t="shared" si="122"/>
        <v>6625</v>
      </c>
      <c r="J1153" s="38">
        <f t="shared" si="123"/>
        <v>2025</v>
      </c>
      <c r="K1153" s="128">
        <f>(1+target)^($J1153-(MIN(tbl_rep_mon[year])))</f>
        <v>1.7490062499999994</v>
      </c>
      <c r="L1153" s="35">
        <f t="shared" si="124"/>
        <v>0.42</v>
      </c>
      <c r="M1153" s="37">
        <f t="shared" si="125"/>
        <v>20757.044700000002</v>
      </c>
    </row>
    <row r="1154" spans="1:13" x14ac:dyDescent="0.4">
      <c r="A1154" t="s">
        <v>43</v>
      </c>
      <c r="B1154">
        <v>4</v>
      </c>
      <c r="C1154" s="36">
        <v>89417.7</v>
      </c>
      <c r="D1154" s="1">
        <v>45931</v>
      </c>
      <c r="E1154" s="35">
        <f t="shared" ref="E1154:E1201" si="126">_xlfn.XLOOKUP(C1154,tier_floor,tier_rate,,-1)</f>
        <v>0.51</v>
      </c>
      <c r="F1154" s="37">
        <f t="shared" ref="F1154:F1201" si="127">C1154*margin_rate</f>
        <v>44708.85</v>
      </c>
      <c r="G1154" s="37">
        <f t="shared" ref="G1154:G1201" si="128">F1154*E1154</f>
        <v>22801.513500000001</v>
      </c>
      <c r="H1154" s="36" cm="1">
        <f t="array" ref="H1154">SUMPRODUCT((C1154&gt;tier_floor)*((C1154-tier_floor)*step)*margin_rate)</f>
        <v>16176.513499999999</v>
      </c>
      <c r="I1154" s="37">
        <f t="shared" ref="I1154:I1201" si="129">G1154-H1154</f>
        <v>6625.0000000000018</v>
      </c>
      <c r="J1154" s="38">
        <f t="shared" ref="J1154:J1201" si="130">YEAR(D1154)</f>
        <v>2025</v>
      </c>
      <c r="K1154" s="128">
        <f>(1+target)^($J1154-(MIN(tbl_rep_mon[year])))</f>
        <v>1.7490062499999994</v>
      </c>
      <c r="L1154" s="35">
        <f t="shared" ref="L1154:L1201" si="131">_xlfn.XLOOKUP(($C1154/$K1154),tier_floor,tier_rate,,-1)</f>
        <v>0.42</v>
      </c>
      <c r="M1154" s="37">
        <f t="shared" ref="M1154:M1201" si="132">$F1154*$L1154</f>
        <v>18777.716999999997</v>
      </c>
    </row>
    <row r="1155" spans="1:13" x14ac:dyDescent="0.4">
      <c r="A1155" t="s">
        <v>44</v>
      </c>
      <c r="B1155">
        <v>3</v>
      </c>
      <c r="C1155" s="36">
        <v>69654.25</v>
      </c>
      <c r="D1155" s="1">
        <v>45931</v>
      </c>
      <c r="E1155" s="35">
        <f t="shared" si="126"/>
        <v>0.42</v>
      </c>
      <c r="F1155" s="37">
        <f t="shared" si="127"/>
        <v>34827.125</v>
      </c>
      <c r="G1155" s="37">
        <f t="shared" si="128"/>
        <v>14627.3925</v>
      </c>
      <c r="H1155" s="36" cm="1">
        <f t="array" ref="H1155">SUMPRODUCT((C1155&gt;tier_floor)*((C1155-tier_floor)*step)*margin_rate)</f>
        <v>11377.3925</v>
      </c>
      <c r="I1155" s="37">
        <f t="shared" si="129"/>
        <v>3250</v>
      </c>
      <c r="J1155" s="38">
        <f t="shared" si="130"/>
        <v>2025</v>
      </c>
      <c r="K1155" s="128">
        <f>(1+target)^($J1155-(MIN(tbl_rep_mon[year])))</f>
        <v>1.7490062499999994</v>
      </c>
      <c r="L1155" s="35">
        <f t="shared" si="131"/>
        <v>0.33</v>
      </c>
      <c r="M1155" s="37">
        <f t="shared" si="132"/>
        <v>11492.95125</v>
      </c>
    </row>
    <row r="1156" spans="1:13" x14ac:dyDescent="0.4">
      <c r="A1156" t="s">
        <v>45</v>
      </c>
      <c r="B1156">
        <v>3</v>
      </c>
      <c r="C1156" s="36">
        <v>112006.39999999999</v>
      </c>
      <c r="D1156" s="1">
        <v>45931</v>
      </c>
      <c r="E1156" s="35">
        <f t="shared" si="126"/>
        <v>0.6</v>
      </c>
      <c r="F1156" s="37">
        <f t="shared" si="127"/>
        <v>56003.199999999997</v>
      </c>
      <c r="G1156" s="37">
        <f t="shared" si="128"/>
        <v>33601.919999999998</v>
      </c>
      <c r="H1156" s="36" cm="1">
        <f t="array" ref="H1156">SUMPRODUCT((C1156&gt;tier_floor)*((C1156-tier_floor)*step)*margin_rate)</f>
        <v>22476.92</v>
      </c>
      <c r="I1156" s="37">
        <f t="shared" si="129"/>
        <v>11125</v>
      </c>
      <c r="J1156" s="38">
        <f t="shared" si="130"/>
        <v>2025</v>
      </c>
      <c r="K1156" s="128">
        <f>(1+target)^($J1156-(MIN(tbl_rep_mon[year])))</f>
        <v>1.7490062499999994</v>
      </c>
      <c r="L1156" s="35">
        <f t="shared" si="131"/>
        <v>0.42</v>
      </c>
      <c r="M1156" s="37">
        <f t="shared" si="132"/>
        <v>23521.343999999997</v>
      </c>
    </row>
    <row r="1157" spans="1:13" x14ac:dyDescent="0.4">
      <c r="A1157" t="s">
        <v>46</v>
      </c>
      <c r="B1157">
        <v>4</v>
      </c>
      <c r="C1157" s="36">
        <v>64287.07</v>
      </c>
      <c r="D1157" s="1">
        <v>45931</v>
      </c>
      <c r="E1157" s="35">
        <f t="shared" si="126"/>
        <v>0.42</v>
      </c>
      <c r="F1157" s="37">
        <f t="shared" si="127"/>
        <v>32143.535</v>
      </c>
      <c r="G1157" s="37">
        <f t="shared" si="128"/>
        <v>13500.2847</v>
      </c>
      <c r="H1157" s="36" cm="1">
        <f t="array" ref="H1157">SUMPRODUCT((C1157&gt;tier_floor)*((C1157-tier_floor)*step)*margin_rate)</f>
        <v>10250.2847</v>
      </c>
      <c r="I1157" s="37">
        <f t="shared" si="129"/>
        <v>3250</v>
      </c>
      <c r="J1157" s="38">
        <f t="shared" si="130"/>
        <v>2025</v>
      </c>
      <c r="K1157" s="128">
        <f>(1+target)^($J1157-(MIN(tbl_rep_mon[year])))</f>
        <v>1.7490062499999994</v>
      </c>
      <c r="L1157" s="35">
        <f t="shared" si="131"/>
        <v>0.33</v>
      </c>
      <c r="M1157" s="37">
        <f t="shared" si="132"/>
        <v>10607.366550000001</v>
      </c>
    </row>
    <row r="1158" spans="1:13" x14ac:dyDescent="0.4">
      <c r="A1158" t="s">
        <v>47</v>
      </c>
      <c r="B1158">
        <v>2</v>
      </c>
      <c r="C1158" s="36">
        <v>108189.75999999999</v>
      </c>
      <c r="D1158" s="1">
        <v>45931</v>
      </c>
      <c r="E1158" s="35">
        <f t="shared" si="126"/>
        <v>0.6</v>
      </c>
      <c r="F1158" s="37">
        <f t="shared" si="127"/>
        <v>54094.879999999997</v>
      </c>
      <c r="G1158" s="37">
        <f t="shared" si="128"/>
        <v>32456.927999999996</v>
      </c>
      <c r="H1158" s="36" cm="1">
        <f t="array" ref="H1158">SUMPRODUCT((C1158&gt;tier_floor)*((C1158-tier_floor)*step)*margin_rate)</f>
        <v>21331.927999999996</v>
      </c>
      <c r="I1158" s="37">
        <f t="shared" si="129"/>
        <v>11125</v>
      </c>
      <c r="J1158" s="38">
        <f t="shared" si="130"/>
        <v>2025</v>
      </c>
      <c r="K1158" s="128">
        <f>(1+target)^($J1158-(MIN(tbl_rep_mon[year])))</f>
        <v>1.7490062499999994</v>
      </c>
      <c r="L1158" s="35">
        <f t="shared" si="131"/>
        <v>0.42</v>
      </c>
      <c r="M1158" s="37">
        <f t="shared" si="132"/>
        <v>22719.849599999998</v>
      </c>
    </row>
    <row r="1159" spans="1:13" x14ac:dyDescent="0.4">
      <c r="A1159" t="s">
        <v>48</v>
      </c>
      <c r="B1159">
        <v>4</v>
      </c>
      <c r="C1159" s="36">
        <v>69801.350000000006</v>
      </c>
      <c r="D1159" s="1">
        <v>45931</v>
      </c>
      <c r="E1159" s="35">
        <f t="shared" si="126"/>
        <v>0.42</v>
      </c>
      <c r="F1159" s="37">
        <f t="shared" si="127"/>
        <v>34900.675000000003</v>
      </c>
      <c r="G1159" s="37">
        <f t="shared" si="128"/>
        <v>14658.283500000001</v>
      </c>
      <c r="H1159" s="36" cm="1">
        <f t="array" ref="H1159">SUMPRODUCT((C1159&gt;tier_floor)*((C1159-tier_floor)*step)*margin_rate)</f>
        <v>11408.283500000001</v>
      </c>
      <c r="I1159" s="37">
        <f t="shared" si="129"/>
        <v>3250</v>
      </c>
      <c r="J1159" s="38">
        <f t="shared" si="130"/>
        <v>2025</v>
      </c>
      <c r="K1159" s="128">
        <f>(1+target)^($J1159-(MIN(tbl_rep_mon[year])))</f>
        <v>1.7490062499999994</v>
      </c>
      <c r="L1159" s="35">
        <f t="shared" si="131"/>
        <v>0.33</v>
      </c>
      <c r="M1159" s="37">
        <f t="shared" si="132"/>
        <v>11517.222750000001</v>
      </c>
    </row>
    <row r="1160" spans="1:13" x14ac:dyDescent="0.4">
      <c r="A1160" t="s">
        <v>49</v>
      </c>
      <c r="B1160">
        <v>2</v>
      </c>
      <c r="C1160" s="36">
        <v>90210.97</v>
      </c>
      <c r="D1160" s="1">
        <v>45931</v>
      </c>
      <c r="E1160" s="35">
        <f t="shared" si="126"/>
        <v>0.51</v>
      </c>
      <c r="F1160" s="37">
        <f t="shared" si="127"/>
        <v>45105.485000000001</v>
      </c>
      <c r="G1160" s="37">
        <f t="shared" si="128"/>
        <v>23003.797350000001</v>
      </c>
      <c r="H1160" s="36" cm="1">
        <f t="array" ref="H1160">SUMPRODUCT((C1160&gt;tier_floor)*((C1160-tier_floor)*step)*margin_rate)</f>
        <v>16378.797350000001</v>
      </c>
      <c r="I1160" s="37">
        <f t="shared" si="129"/>
        <v>6625</v>
      </c>
      <c r="J1160" s="38">
        <f t="shared" si="130"/>
        <v>2025</v>
      </c>
      <c r="K1160" s="128">
        <f>(1+target)^($J1160-(MIN(tbl_rep_mon[year])))</f>
        <v>1.7490062499999994</v>
      </c>
      <c r="L1160" s="35">
        <f t="shared" si="131"/>
        <v>0.42</v>
      </c>
      <c r="M1160" s="37">
        <f t="shared" si="132"/>
        <v>18944.3037</v>
      </c>
    </row>
    <row r="1161" spans="1:13" x14ac:dyDescent="0.4">
      <c r="A1161" t="s">
        <v>50</v>
      </c>
      <c r="B1161">
        <v>3</v>
      </c>
      <c r="C1161" s="36">
        <v>54553.68</v>
      </c>
      <c r="D1161" s="1">
        <v>45931</v>
      </c>
      <c r="E1161" s="35">
        <f t="shared" si="126"/>
        <v>0.42</v>
      </c>
      <c r="F1161" s="37">
        <f t="shared" si="127"/>
        <v>27276.84</v>
      </c>
      <c r="G1161" s="37">
        <f t="shared" si="128"/>
        <v>11456.272799999999</v>
      </c>
      <c r="H1161" s="36" cm="1">
        <f t="array" ref="H1161">SUMPRODUCT((C1161&gt;tier_floor)*((C1161-tier_floor)*step)*margin_rate)</f>
        <v>8206.2728000000006</v>
      </c>
      <c r="I1161" s="37">
        <f t="shared" si="129"/>
        <v>3249.9999999999982</v>
      </c>
      <c r="J1161" s="38">
        <f t="shared" si="130"/>
        <v>2025</v>
      </c>
      <c r="K1161" s="128">
        <f>(1+target)^($J1161-(MIN(tbl_rep_mon[year])))</f>
        <v>1.7490062499999994</v>
      </c>
      <c r="L1161" s="35">
        <f t="shared" si="131"/>
        <v>0.33</v>
      </c>
      <c r="M1161" s="37">
        <f t="shared" si="132"/>
        <v>9001.3572000000004</v>
      </c>
    </row>
    <row r="1162" spans="1:13" x14ac:dyDescent="0.4">
      <c r="A1162" t="s">
        <v>15</v>
      </c>
      <c r="B1162">
        <v>3</v>
      </c>
      <c r="C1162" s="36">
        <v>105621.02</v>
      </c>
      <c r="D1162" s="1">
        <v>45962</v>
      </c>
      <c r="E1162" s="35">
        <f t="shared" si="126"/>
        <v>0.6</v>
      </c>
      <c r="F1162" s="37">
        <f t="shared" si="127"/>
        <v>52810.51</v>
      </c>
      <c r="G1162" s="37">
        <f t="shared" si="128"/>
        <v>31686.306</v>
      </c>
      <c r="H1162" s="36" cm="1">
        <f t="array" ref="H1162">SUMPRODUCT((C1162&gt;tier_floor)*((C1162-tier_floor)*step)*margin_rate)</f>
        <v>20561.305999999997</v>
      </c>
      <c r="I1162" s="37">
        <f t="shared" si="129"/>
        <v>11125.000000000004</v>
      </c>
      <c r="J1162" s="38">
        <f t="shared" si="130"/>
        <v>2025</v>
      </c>
      <c r="K1162" s="128">
        <f>(1+target)^($J1162-(MIN(tbl_rep_mon[year])))</f>
        <v>1.7490062499999994</v>
      </c>
      <c r="L1162" s="35">
        <f t="shared" si="131"/>
        <v>0.42</v>
      </c>
      <c r="M1162" s="37">
        <f t="shared" si="132"/>
        <v>22180.414199999999</v>
      </c>
    </row>
    <row r="1163" spans="1:13" x14ac:dyDescent="0.4">
      <c r="A1163" t="s">
        <v>19</v>
      </c>
      <c r="B1163">
        <v>4</v>
      </c>
      <c r="C1163" s="36">
        <v>71053.210000000006</v>
      </c>
      <c r="D1163" s="1">
        <v>45962</v>
      </c>
      <c r="E1163" s="35">
        <f t="shared" si="126"/>
        <v>0.42</v>
      </c>
      <c r="F1163" s="37">
        <f t="shared" si="127"/>
        <v>35526.605000000003</v>
      </c>
      <c r="G1163" s="37">
        <f t="shared" si="128"/>
        <v>14921.1741</v>
      </c>
      <c r="H1163" s="36" cm="1">
        <f t="array" ref="H1163">SUMPRODUCT((C1163&gt;tier_floor)*((C1163-tier_floor)*step)*margin_rate)</f>
        <v>11671.1741</v>
      </c>
      <c r="I1163" s="37">
        <f t="shared" si="129"/>
        <v>3250</v>
      </c>
      <c r="J1163" s="38">
        <f t="shared" si="130"/>
        <v>2025</v>
      </c>
      <c r="K1163" s="128">
        <f>(1+target)^($J1163-(MIN(tbl_rep_mon[year])))</f>
        <v>1.7490062499999994</v>
      </c>
      <c r="L1163" s="35">
        <f t="shared" si="131"/>
        <v>0.33</v>
      </c>
      <c r="M1163" s="37">
        <f t="shared" si="132"/>
        <v>11723.779650000002</v>
      </c>
    </row>
    <row r="1164" spans="1:13" x14ac:dyDescent="0.4">
      <c r="A1164" t="s">
        <v>23</v>
      </c>
      <c r="B1164">
        <v>1</v>
      </c>
      <c r="C1164" s="36">
        <v>150234.23999999999</v>
      </c>
      <c r="D1164" s="1">
        <v>45962</v>
      </c>
      <c r="E1164" s="35">
        <f t="shared" si="126"/>
        <v>0.6</v>
      </c>
      <c r="F1164" s="37">
        <f t="shared" si="127"/>
        <v>75117.119999999995</v>
      </c>
      <c r="G1164" s="37">
        <f t="shared" si="128"/>
        <v>45070.271999999997</v>
      </c>
      <c r="H1164" s="36" cm="1">
        <f t="array" ref="H1164">SUMPRODUCT((C1164&gt;tier_floor)*((C1164-tier_floor)*step)*margin_rate)</f>
        <v>33945.271999999997</v>
      </c>
      <c r="I1164" s="37">
        <f t="shared" si="129"/>
        <v>11125</v>
      </c>
      <c r="J1164" s="38">
        <f t="shared" si="130"/>
        <v>2025</v>
      </c>
      <c r="K1164" s="128">
        <f>(1+target)^($J1164-(MIN(tbl_rep_mon[year])))</f>
        <v>1.7490062499999994</v>
      </c>
      <c r="L1164" s="35">
        <f t="shared" si="131"/>
        <v>0.51</v>
      </c>
      <c r="M1164" s="37">
        <f t="shared" si="132"/>
        <v>38309.731199999995</v>
      </c>
    </row>
    <row r="1165" spans="1:13" x14ac:dyDescent="0.4">
      <c r="A1165" t="s">
        <v>29</v>
      </c>
      <c r="B1165">
        <v>1</v>
      </c>
      <c r="C1165" s="36">
        <v>105178.47</v>
      </c>
      <c r="D1165" s="1">
        <v>45962</v>
      </c>
      <c r="E1165" s="35">
        <f t="shared" si="126"/>
        <v>0.6</v>
      </c>
      <c r="F1165" s="37">
        <f t="shared" si="127"/>
        <v>52589.235000000001</v>
      </c>
      <c r="G1165" s="37">
        <f t="shared" si="128"/>
        <v>31553.540999999997</v>
      </c>
      <c r="H1165" s="36" cm="1">
        <f t="array" ref="H1165">SUMPRODUCT((C1165&gt;tier_floor)*((C1165-tier_floor)*step)*margin_rate)</f>
        <v>20428.540999999997</v>
      </c>
      <c r="I1165" s="37">
        <f t="shared" si="129"/>
        <v>11125</v>
      </c>
      <c r="J1165" s="38">
        <f t="shared" si="130"/>
        <v>2025</v>
      </c>
      <c r="K1165" s="128">
        <f>(1+target)^($J1165-(MIN(tbl_rep_mon[year])))</f>
        <v>1.7490062499999994</v>
      </c>
      <c r="L1165" s="35">
        <f t="shared" si="131"/>
        <v>0.42</v>
      </c>
      <c r="M1165" s="37">
        <f t="shared" si="132"/>
        <v>22087.4787</v>
      </c>
    </row>
    <row r="1166" spans="1:13" x14ac:dyDescent="0.4">
      <c r="A1166" t="s">
        <v>32</v>
      </c>
      <c r="B1166">
        <v>4</v>
      </c>
      <c r="C1166" s="36">
        <v>77968.160000000003</v>
      </c>
      <c r="D1166" s="1">
        <v>45962</v>
      </c>
      <c r="E1166" s="35">
        <f t="shared" si="126"/>
        <v>0.51</v>
      </c>
      <c r="F1166" s="37">
        <f t="shared" si="127"/>
        <v>38984.080000000002</v>
      </c>
      <c r="G1166" s="37">
        <f t="shared" si="128"/>
        <v>19881.880800000003</v>
      </c>
      <c r="H1166" s="36" cm="1">
        <f t="array" ref="H1166">SUMPRODUCT((C1166&gt;tier_floor)*((C1166-tier_floor)*step)*margin_rate)</f>
        <v>13256.880799999999</v>
      </c>
      <c r="I1166" s="37">
        <f t="shared" si="129"/>
        <v>6625.0000000000036</v>
      </c>
      <c r="J1166" s="38">
        <f t="shared" si="130"/>
        <v>2025</v>
      </c>
      <c r="K1166" s="128">
        <f>(1+target)^($J1166-(MIN(tbl_rep_mon[year])))</f>
        <v>1.7490062499999994</v>
      </c>
      <c r="L1166" s="35">
        <f t="shared" si="131"/>
        <v>0.33</v>
      </c>
      <c r="M1166" s="37">
        <f t="shared" si="132"/>
        <v>12864.746400000002</v>
      </c>
    </row>
    <row r="1167" spans="1:13" x14ac:dyDescent="0.4">
      <c r="A1167" t="s">
        <v>33</v>
      </c>
      <c r="B1167">
        <v>3</v>
      </c>
      <c r="C1167" s="36">
        <v>53214.28</v>
      </c>
      <c r="D1167" s="1">
        <v>45962</v>
      </c>
      <c r="E1167" s="35">
        <f t="shared" si="126"/>
        <v>0.42</v>
      </c>
      <c r="F1167" s="37">
        <f t="shared" si="127"/>
        <v>26607.14</v>
      </c>
      <c r="G1167" s="37">
        <f t="shared" si="128"/>
        <v>11174.998799999999</v>
      </c>
      <c r="H1167" s="36" cm="1">
        <f t="array" ref="H1167">SUMPRODUCT((C1167&gt;tier_floor)*((C1167-tier_floor)*step)*margin_rate)</f>
        <v>7924.9988000000003</v>
      </c>
      <c r="I1167" s="37">
        <f t="shared" si="129"/>
        <v>3249.9999999999991</v>
      </c>
      <c r="J1167" s="38">
        <f t="shared" si="130"/>
        <v>2025</v>
      </c>
      <c r="K1167" s="128">
        <f>(1+target)^($J1167-(MIN(tbl_rep_mon[year])))</f>
        <v>1.7490062499999994</v>
      </c>
      <c r="L1167" s="35">
        <f t="shared" si="131"/>
        <v>0.33</v>
      </c>
      <c r="M1167" s="37">
        <f t="shared" si="132"/>
        <v>8780.3562000000002</v>
      </c>
    </row>
    <row r="1168" spans="1:13" x14ac:dyDescent="0.4">
      <c r="A1168" t="s">
        <v>34</v>
      </c>
      <c r="B1168">
        <v>4</v>
      </c>
      <c r="C1168" s="36">
        <v>85889.39</v>
      </c>
      <c r="D1168" s="1">
        <v>45962</v>
      </c>
      <c r="E1168" s="35">
        <f t="shared" si="126"/>
        <v>0.51</v>
      </c>
      <c r="F1168" s="37">
        <f t="shared" si="127"/>
        <v>42944.695</v>
      </c>
      <c r="G1168" s="37">
        <f t="shared" si="128"/>
        <v>21901.794450000001</v>
      </c>
      <c r="H1168" s="36" cm="1">
        <f t="array" ref="H1168">SUMPRODUCT((C1168&gt;tier_floor)*((C1168-tier_floor)*step)*margin_rate)</f>
        <v>15276.794449999999</v>
      </c>
      <c r="I1168" s="37">
        <f t="shared" si="129"/>
        <v>6625.0000000000018</v>
      </c>
      <c r="J1168" s="38">
        <f t="shared" si="130"/>
        <v>2025</v>
      </c>
      <c r="K1168" s="128">
        <f>(1+target)^($J1168-(MIN(tbl_rep_mon[year])))</f>
        <v>1.7490062499999994</v>
      </c>
      <c r="L1168" s="35">
        <f t="shared" si="131"/>
        <v>0.33</v>
      </c>
      <c r="M1168" s="37">
        <f t="shared" si="132"/>
        <v>14171.74935</v>
      </c>
    </row>
    <row r="1169" spans="1:13" x14ac:dyDescent="0.4">
      <c r="A1169" t="s">
        <v>35</v>
      </c>
      <c r="B1169">
        <v>4</v>
      </c>
      <c r="C1169" s="36">
        <v>54144.44</v>
      </c>
      <c r="D1169" s="1">
        <v>45962</v>
      </c>
      <c r="E1169" s="35">
        <f t="shared" si="126"/>
        <v>0.42</v>
      </c>
      <c r="F1169" s="37">
        <f t="shared" si="127"/>
        <v>27072.22</v>
      </c>
      <c r="G1169" s="37">
        <f t="shared" si="128"/>
        <v>11370.332399999999</v>
      </c>
      <c r="H1169" s="36" cm="1">
        <f t="array" ref="H1169">SUMPRODUCT((C1169&gt;tier_floor)*((C1169-tier_floor)*step)*margin_rate)</f>
        <v>8120.3324000000011</v>
      </c>
      <c r="I1169" s="37">
        <f t="shared" si="129"/>
        <v>3249.9999999999982</v>
      </c>
      <c r="J1169" s="38">
        <f t="shared" si="130"/>
        <v>2025</v>
      </c>
      <c r="K1169" s="128">
        <f>(1+target)^($J1169-(MIN(tbl_rep_mon[year])))</f>
        <v>1.7490062499999994</v>
      </c>
      <c r="L1169" s="35">
        <f t="shared" si="131"/>
        <v>0.33</v>
      </c>
      <c r="M1169" s="37">
        <f t="shared" si="132"/>
        <v>8933.8326000000015</v>
      </c>
    </row>
    <row r="1170" spans="1:13" x14ac:dyDescent="0.4">
      <c r="A1170" t="s">
        <v>37</v>
      </c>
      <c r="B1170">
        <v>4</v>
      </c>
      <c r="C1170" s="36">
        <v>71404.490000000005</v>
      </c>
      <c r="D1170" s="1">
        <v>45962</v>
      </c>
      <c r="E1170" s="35">
        <f t="shared" si="126"/>
        <v>0.42</v>
      </c>
      <c r="F1170" s="37">
        <f t="shared" si="127"/>
        <v>35702.245000000003</v>
      </c>
      <c r="G1170" s="37">
        <f t="shared" si="128"/>
        <v>14994.9429</v>
      </c>
      <c r="H1170" s="36" cm="1">
        <f t="array" ref="H1170">SUMPRODUCT((C1170&gt;tier_floor)*((C1170-tier_floor)*step)*margin_rate)</f>
        <v>11744.942900000002</v>
      </c>
      <c r="I1170" s="37">
        <f t="shared" si="129"/>
        <v>3249.9999999999982</v>
      </c>
      <c r="J1170" s="38">
        <f t="shared" si="130"/>
        <v>2025</v>
      </c>
      <c r="K1170" s="128">
        <f>(1+target)^($J1170-(MIN(tbl_rep_mon[year])))</f>
        <v>1.7490062499999994</v>
      </c>
      <c r="L1170" s="35">
        <f t="shared" si="131"/>
        <v>0.33</v>
      </c>
      <c r="M1170" s="37">
        <f t="shared" si="132"/>
        <v>11781.740850000002</v>
      </c>
    </row>
    <row r="1171" spans="1:13" x14ac:dyDescent="0.4">
      <c r="A1171" t="s">
        <v>38</v>
      </c>
      <c r="B1171">
        <v>2</v>
      </c>
      <c r="C1171" s="36">
        <v>98323.69</v>
      </c>
      <c r="D1171" s="1">
        <v>45962</v>
      </c>
      <c r="E1171" s="35">
        <f t="shared" si="126"/>
        <v>0.51</v>
      </c>
      <c r="F1171" s="37">
        <f t="shared" si="127"/>
        <v>49161.845000000001</v>
      </c>
      <c r="G1171" s="37">
        <f t="shared" si="128"/>
        <v>25072.540950000002</v>
      </c>
      <c r="H1171" s="36" cm="1">
        <f t="array" ref="H1171">SUMPRODUCT((C1171&gt;tier_floor)*((C1171-tier_floor)*step)*margin_rate)</f>
        <v>18447.540950000002</v>
      </c>
      <c r="I1171" s="37">
        <f t="shared" si="129"/>
        <v>6625</v>
      </c>
      <c r="J1171" s="38">
        <f t="shared" si="130"/>
        <v>2025</v>
      </c>
      <c r="K1171" s="128">
        <f>(1+target)^($J1171-(MIN(tbl_rep_mon[year])))</f>
        <v>1.7490062499999994</v>
      </c>
      <c r="L1171" s="35">
        <f t="shared" si="131"/>
        <v>0.42</v>
      </c>
      <c r="M1171" s="37">
        <f t="shared" si="132"/>
        <v>20647.974900000001</v>
      </c>
    </row>
    <row r="1172" spans="1:13" x14ac:dyDescent="0.4">
      <c r="A1172" t="s">
        <v>39</v>
      </c>
      <c r="B1172">
        <v>2</v>
      </c>
      <c r="C1172" s="36">
        <v>83478.97</v>
      </c>
      <c r="D1172" s="1">
        <v>45962</v>
      </c>
      <c r="E1172" s="35">
        <f t="shared" si="126"/>
        <v>0.51</v>
      </c>
      <c r="F1172" s="37">
        <f t="shared" si="127"/>
        <v>41739.485000000001</v>
      </c>
      <c r="G1172" s="37">
        <f t="shared" si="128"/>
        <v>21287.137350000001</v>
      </c>
      <c r="H1172" s="36" cm="1">
        <f t="array" ref="H1172">SUMPRODUCT((C1172&gt;tier_floor)*((C1172-tier_floor)*step)*margin_rate)</f>
        <v>14662.137350000001</v>
      </c>
      <c r="I1172" s="37">
        <f t="shared" si="129"/>
        <v>6625</v>
      </c>
      <c r="J1172" s="38">
        <f t="shared" si="130"/>
        <v>2025</v>
      </c>
      <c r="K1172" s="128">
        <f>(1+target)^($J1172-(MIN(tbl_rep_mon[year])))</f>
        <v>1.7490062499999994</v>
      </c>
      <c r="L1172" s="35">
        <f t="shared" si="131"/>
        <v>0.33</v>
      </c>
      <c r="M1172" s="37">
        <f t="shared" si="132"/>
        <v>13774.030050000001</v>
      </c>
    </row>
    <row r="1173" spans="1:13" x14ac:dyDescent="0.4">
      <c r="A1173" t="s">
        <v>43</v>
      </c>
      <c r="B1173">
        <v>4</v>
      </c>
      <c r="C1173" s="36">
        <v>58326.94</v>
      </c>
      <c r="D1173" s="1">
        <v>45962</v>
      </c>
      <c r="E1173" s="35">
        <f t="shared" si="126"/>
        <v>0.42</v>
      </c>
      <c r="F1173" s="37">
        <f t="shared" si="127"/>
        <v>29163.47</v>
      </c>
      <c r="G1173" s="37">
        <f t="shared" si="128"/>
        <v>12248.6574</v>
      </c>
      <c r="H1173" s="36" cm="1">
        <f t="array" ref="H1173">SUMPRODUCT((C1173&gt;tier_floor)*((C1173-tier_floor)*step)*margin_rate)</f>
        <v>8998.6574000000001</v>
      </c>
      <c r="I1173" s="37">
        <f t="shared" si="129"/>
        <v>3250</v>
      </c>
      <c r="J1173" s="38">
        <f t="shared" si="130"/>
        <v>2025</v>
      </c>
      <c r="K1173" s="128">
        <f>(1+target)^($J1173-(MIN(tbl_rep_mon[year])))</f>
        <v>1.7490062499999994</v>
      </c>
      <c r="L1173" s="35">
        <f t="shared" si="131"/>
        <v>0.33</v>
      </c>
      <c r="M1173" s="37">
        <f t="shared" si="132"/>
        <v>9623.9451000000008</v>
      </c>
    </row>
    <row r="1174" spans="1:13" x14ac:dyDescent="0.4">
      <c r="A1174" t="s">
        <v>44</v>
      </c>
      <c r="B1174">
        <v>3</v>
      </c>
      <c r="C1174" s="36">
        <v>70005.48</v>
      </c>
      <c r="D1174" s="1">
        <v>45962</v>
      </c>
      <c r="E1174" s="35">
        <f t="shared" si="126"/>
        <v>0.42</v>
      </c>
      <c r="F1174" s="37">
        <f t="shared" si="127"/>
        <v>35002.74</v>
      </c>
      <c r="G1174" s="37">
        <f t="shared" si="128"/>
        <v>14701.150799999999</v>
      </c>
      <c r="H1174" s="36" cm="1">
        <f t="array" ref="H1174">SUMPRODUCT((C1174&gt;tier_floor)*((C1174-tier_floor)*step)*margin_rate)</f>
        <v>11451.150799999999</v>
      </c>
      <c r="I1174" s="37">
        <f t="shared" si="129"/>
        <v>3250</v>
      </c>
      <c r="J1174" s="38">
        <f t="shared" si="130"/>
        <v>2025</v>
      </c>
      <c r="K1174" s="128">
        <f>(1+target)^($J1174-(MIN(tbl_rep_mon[year])))</f>
        <v>1.7490062499999994</v>
      </c>
      <c r="L1174" s="35">
        <f t="shared" si="131"/>
        <v>0.33</v>
      </c>
      <c r="M1174" s="37">
        <f t="shared" si="132"/>
        <v>11550.904199999999</v>
      </c>
    </row>
    <row r="1175" spans="1:13" x14ac:dyDescent="0.4">
      <c r="A1175" t="s">
        <v>45</v>
      </c>
      <c r="B1175">
        <v>3</v>
      </c>
      <c r="C1175" s="36">
        <v>92036.04</v>
      </c>
      <c r="D1175" s="1">
        <v>45962</v>
      </c>
      <c r="E1175" s="35">
        <f t="shared" si="126"/>
        <v>0.51</v>
      </c>
      <c r="F1175" s="37">
        <f t="shared" si="127"/>
        <v>46018.02</v>
      </c>
      <c r="G1175" s="37">
        <f t="shared" si="128"/>
        <v>23469.190199999997</v>
      </c>
      <c r="H1175" s="36" cm="1">
        <f t="array" ref="H1175">SUMPRODUCT((C1175&gt;tier_floor)*((C1175-tier_floor)*step)*margin_rate)</f>
        <v>16844.190199999997</v>
      </c>
      <c r="I1175" s="37">
        <f t="shared" si="129"/>
        <v>6625</v>
      </c>
      <c r="J1175" s="38">
        <f t="shared" si="130"/>
        <v>2025</v>
      </c>
      <c r="K1175" s="128">
        <f>(1+target)^($J1175-(MIN(tbl_rep_mon[year])))</f>
        <v>1.7490062499999994</v>
      </c>
      <c r="L1175" s="35">
        <f t="shared" si="131"/>
        <v>0.42</v>
      </c>
      <c r="M1175" s="37">
        <f t="shared" si="132"/>
        <v>19327.568399999996</v>
      </c>
    </row>
    <row r="1176" spans="1:13" x14ac:dyDescent="0.4">
      <c r="A1176" t="s">
        <v>46</v>
      </c>
      <c r="B1176">
        <v>4</v>
      </c>
      <c r="C1176" s="36">
        <v>50652</v>
      </c>
      <c r="D1176" s="1">
        <v>45962</v>
      </c>
      <c r="E1176" s="35">
        <f t="shared" si="126"/>
        <v>0.42</v>
      </c>
      <c r="F1176" s="37">
        <f t="shared" si="127"/>
        <v>25326</v>
      </c>
      <c r="G1176" s="37">
        <f t="shared" si="128"/>
        <v>10636.92</v>
      </c>
      <c r="H1176" s="36" cm="1">
        <f t="array" ref="H1176">SUMPRODUCT((C1176&gt;tier_floor)*((C1176-tier_floor)*step)*margin_rate)</f>
        <v>7386.92</v>
      </c>
      <c r="I1176" s="37">
        <f t="shared" si="129"/>
        <v>3250</v>
      </c>
      <c r="J1176" s="38">
        <f t="shared" si="130"/>
        <v>2025</v>
      </c>
      <c r="K1176" s="128">
        <f>(1+target)^($J1176-(MIN(tbl_rep_mon[year])))</f>
        <v>1.7490062499999994</v>
      </c>
      <c r="L1176" s="35">
        <f t="shared" si="131"/>
        <v>0.33</v>
      </c>
      <c r="M1176" s="37">
        <f t="shared" si="132"/>
        <v>8357.58</v>
      </c>
    </row>
    <row r="1177" spans="1:13" x14ac:dyDescent="0.4">
      <c r="A1177" t="s">
        <v>47</v>
      </c>
      <c r="B1177">
        <v>2</v>
      </c>
      <c r="C1177" s="36">
        <v>89350.53</v>
      </c>
      <c r="D1177" s="1">
        <v>45962</v>
      </c>
      <c r="E1177" s="35">
        <f t="shared" si="126"/>
        <v>0.51</v>
      </c>
      <c r="F1177" s="37">
        <f t="shared" si="127"/>
        <v>44675.264999999999</v>
      </c>
      <c r="G1177" s="37">
        <f t="shared" si="128"/>
        <v>22784.385150000002</v>
      </c>
      <c r="H1177" s="36" cm="1">
        <f t="array" ref="H1177">SUMPRODUCT((C1177&gt;tier_floor)*((C1177-tier_floor)*step)*margin_rate)</f>
        <v>16159.38515</v>
      </c>
      <c r="I1177" s="37">
        <f t="shared" si="129"/>
        <v>6625.0000000000018</v>
      </c>
      <c r="J1177" s="38">
        <f t="shared" si="130"/>
        <v>2025</v>
      </c>
      <c r="K1177" s="128">
        <f>(1+target)^($J1177-(MIN(tbl_rep_mon[year])))</f>
        <v>1.7490062499999994</v>
      </c>
      <c r="L1177" s="35">
        <f t="shared" si="131"/>
        <v>0.42</v>
      </c>
      <c r="M1177" s="37">
        <f t="shared" si="132"/>
        <v>18763.6113</v>
      </c>
    </row>
    <row r="1178" spans="1:13" x14ac:dyDescent="0.4">
      <c r="A1178" t="s">
        <v>48</v>
      </c>
      <c r="B1178">
        <v>4</v>
      </c>
      <c r="C1178" s="36">
        <v>62760.84</v>
      </c>
      <c r="D1178" s="1">
        <v>45962</v>
      </c>
      <c r="E1178" s="35">
        <f t="shared" si="126"/>
        <v>0.42</v>
      </c>
      <c r="F1178" s="37">
        <f t="shared" si="127"/>
        <v>31380.42</v>
      </c>
      <c r="G1178" s="37">
        <f t="shared" si="128"/>
        <v>13179.776399999999</v>
      </c>
      <c r="H1178" s="36" cm="1">
        <f t="array" ref="H1178">SUMPRODUCT((C1178&gt;tier_floor)*((C1178-tier_floor)*step)*margin_rate)</f>
        <v>9929.7763999999988</v>
      </c>
      <c r="I1178" s="37">
        <f t="shared" si="129"/>
        <v>3250</v>
      </c>
      <c r="J1178" s="38">
        <f t="shared" si="130"/>
        <v>2025</v>
      </c>
      <c r="K1178" s="128">
        <f>(1+target)^($J1178-(MIN(tbl_rep_mon[year])))</f>
        <v>1.7490062499999994</v>
      </c>
      <c r="L1178" s="35">
        <f t="shared" si="131"/>
        <v>0.33</v>
      </c>
      <c r="M1178" s="37">
        <f t="shared" si="132"/>
        <v>10355.5386</v>
      </c>
    </row>
    <row r="1179" spans="1:13" x14ac:dyDescent="0.4">
      <c r="A1179" t="s">
        <v>49</v>
      </c>
      <c r="B1179">
        <v>2</v>
      </c>
      <c r="C1179" s="36">
        <v>81198.27</v>
      </c>
      <c r="D1179" s="1">
        <v>45962</v>
      </c>
      <c r="E1179" s="35">
        <f t="shared" si="126"/>
        <v>0.51</v>
      </c>
      <c r="F1179" s="37">
        <f t="shared" si="127"/>
        <v>40599.135000000002</v>
      </c>
      <c r="G1179" s="37">
        <f t="shared" si="128"/>
        <v>20705.558850000001</v>
      </c>
      <c r="H1179" s="36" cm="1">
        <f t="array" ref="H1179">SUMPRODUCT((C1179&gt;tier_floor)*((C1179-tier_floor)*step)*margin_rate)</f>
        <v>14080.558850000001</v>
      </c>
      <c r="I1179" s="37">
        <f t="shared" si="129"/>
        <v>6625</v>
      </c>
      <c r="J1179" s="38">
        <f t="shared" si="130"/>
        <v>2025</v>
      </c>
      <c r="K1179" s="128">
        <f>(1+target)^($J1179-(MIN(tbl_rep_mon[year])))</f>
        <v>1.7490062499999994</v>
      </c>
      <c r="L1179" s="35">
        <f t="shared" si="131"/>
        <v>0.33</v>
      </c>
      <c r="M1179" s="37">
        <f t="shared" si="132"/>
        <v>13397.714550000001</v>
      </c>
    </row>
    <row r="1180" spans="1:13" x14ac:dyDescent="0.4">
      <c r="A1180" t="s">
        <v>50</v>
      </c>
      <c r="B1180">
        <v>3</v>
      </c>
      <c r="C1180" s="36">
        <v>63906.82</v>
      </c>
      <c r="D1180" s="1">
        <v>45962</v>
      </c>
      <c r="E1180" s="35">
        <f t="shared" si="126"/>
        <v>0.42</v>
      </c>
      <c r="F1180" s="37">
        <f t="shared" si="127"/>
        <v>31953.41</v>
      </c>
      <c r="G1180" s="37">
        <f t="shared" si="128"/>
        <v>13420.432199999999</v>
      </c>
      <c r="H1180" s="36" cm="1">
        <f t="array" ref="H1180">SUMPRODUCT((C1180&gt;tier_floor)*((C1180-tier_floor)*step)*margin_rate)</f>
        <v>10170.432199999999</v>
      </c>
      <c r="I1180" s="37">
        <f t="shared" si="129"/>
        <v>3250</v>
      </c>
      <c r="J1180" s="38">
        <f t="shared" si="130"/>
        <v>2025</v>
      </c>
      <c r="K1180" s="128">
        <f>(1+target)^($J1180-(MIN(tbl_rep_mon[year])))</f>
        <v>1.7490062499999994</v>
      </c>
      <c r="L1180" s="35">
        <f t="shared" si="131"/>
        <v>0.33</v>
      </c>
      <c r="M1180" s="37">
        <f t="shared" si="132"/>
        <v>10544.6253</v>
      </c>
    </row>
    <row r="1181" spans="1:13" x14ac:dyDescent="0.4">
      <c r="A1181" t="s">
        <v>51</v>
      </c>
      <c r="B1181">
        <v>2</v>
      </c>
      <c r="C1181" s="36">
        <v>9144.7099999999991</v>
      </c>
      <c r="D1181" s="1">
        <v>45962</v>
      </c>
      <c r="E1181" s="35">
        <f t="shared" si="126"/>
        <v>0.25</v>
      </c>
      <c r="F1181" s="37">
        <f t="shared" si="127"/>
        <v>4572.3549999999996</v>
      </c>
      <c r="G1181" s="37">
        <f t="shared" si="128"/>
        <v>1143.0887499999999</v>
      </c>
      <c r="H1181" s="36" cm="1">
        <f t="array" ref="H1181">SUMPRODUCT((C1181&gt;tier_floor)*((C1181-tier_floor)*step)*margin_rate)</f>
        <v>1143.0887499999999</v>
      </c>
      <c r="I1181" s="37">
        <f t="shared" si="129"/>
        <v>0</v>
      </c>
      <c r="J1181" s="38">
        <f t="shared" si="130"/>
        <v>2025</v>
      </c>
      <c r="K1181" s="128">
        <f>(1+target)^($J1181-(MIN(tbl_rep_mon[year])))</f>
        <v>1.7490062499999994</v>
      </c>
      <c r="L1181" s="35">
        <f t="shared" si="131"/>
        <v>0.25</v>
      </c>
      <c r="M1181" s="37">
        <f t="shared" si="132"/>
        <v>1143.0887499999999</v>
      </c>
    </row>
    <row r="1182" spans="1:13" x14ac:dyDescent="0.4">
      <c r="A1182" t="s">
        <v>15</v>
      </c>
      <c r="B1182">
        <v>3</v>
      </c>
      <c r="C1182" s="36">
        <v>87915.54</v>
      </c>
      <c r="D1182" s="1">
        <v>45992</v>
      </c>
      <c r="E1182" s="35">
        <f t="shared" si="126"/>
        <v>0.51</v>
      </c>
      <c r="F1182" s="37">
        <f t="shared" si="127"/>
        <v>43957.77</v>
      </c>
      <c r="G1182" s="37">
        <f t="shared" si="128"/>
        <v>22418.4627</v>
      </c>
      <c r="H1182" s="36" cm="1">
        <f t="array" ref="H1182">SUMPRODUCT((C1182&gt;tier_floor)*((C1182-tier_floor)*step)*margin_rate)</f>
        <v>15793.462699999998</v>
      </c>
      <c r="I1182" s="37">
        <f t="shared" si="129"/>
        <v>6625.0000000000018</v>
      </c>
      <c r="J1182" s="38">
        <f t="shared" si="130"/>
        <v>2025</v>
      </c>
      <c r="K1182" s="128">
        <f>(1+target)^($J1182-(MIN(tbl_rep_mon[year])))</f>
        <v>1.7490062499999994</v>
      </c>
      <c r="L1182" s="35">
        <f t="shared" si="131"/>
        <v>0.42</v>
      </c>
      <c r="M1182" s="37">
        <f t="shared" si="132"/>
        <v>18462.263399999996</v>
      </c>
    </row>
    <row r="1183" spans="1:13" x14ac:dyDescent="0.4">
      <c r="A1183" t="s">
        <v>19</v>
      </c>
      <c r="B1183">
        <v>4</v>
      </c>
      <c r="C1183" s="36">
        <v>94515.98</v>
      </c>
      <c r="D1183" s="1">
        <v>45992</v>
      </c>
      <c r="E1183" s="35">
        <f t="shared" si="126"/>
        <v>0.51</v>
      </c>
      <c r="F1183" s="37">
        <f t="shared" si="127"/>
        <v>47257.99</v>
      </c>
      <c r="G1183" s="37">
        <f t="shared" si="128"/>
        <v>24101.5749</v>
      </c>
      <c r="H1183" s="36" cm="1">
        <f t="array" ref="H1183">SUMPRODUCT((C1183&gt;tier_floor)*((C1183-tier_floor)*step)*margin_rate)</f>
        <v>17476.574899999996</v>
      </c>
      <c r="I1183" s="37">
        <f t="shared" si="129"/>
        <v>6625.0000000000036</v>
      </c>
      <c r="J1183" s="38">
        <f t="shared" si="130"/>
        <v>2025</v>
      </c>
      <c r="K1183" s="128">
        <f>(1+target)^($J1183-(MIN(tbl_rep_mon[year])))</f>
        <v>1.7490062499999994</v>
      </c>
      <c r="L1183" s="35">
        <f t="shared" si="131"/>
        <v>0.42</v>
      </c>
      <c r="M1183" s="37">
        <f t="shared" si="132"/>
        <v>19848.355799999998</v>
      </c>
    </row>
    <row r="1184" spans="1:13" x14ac:dyDescent="0.4">
      <c r="A1184" t="s">
        <v>23</v>
      </c>
      <c r="B1184">
        <v>1</v>
      </c>
      <c r="C1184" s="36">
        <v>150791.16</v>
      </c>
      <c r="D1184" s="1">
        <v>45992</v>
      </c>
      <c r="E1184" s="35">
        <f t="shared" si="126"/>
        <v>0.6</v>
      </c>
      <c r="F1184" s="37">
        <f t="shared" si="127"/>
        <v>75395.58</v>
      </c>
      <c r="G1184" s="37">
        <f t="shared" si="128"/>
        <v>45237.347999999998</v>
      </c>
      <c r="H1184" s="36" cm="1">
        <f t="array" ref="H1184">SUMPRODUCT((C1184&gt;tier_floor)*((C1184-tier_floor)*step)*margin_rate)</f>
        <v>34112.347999999998</v>
      </c>
      <c r="I1184" s="37">
        <f t="shared" si="129"/>
        <v>11125</v>
      </c>
      <c r="J1184" s="38">
        <f t="shared" si="130"/>
        <v>2025</v>
      </c>
      <c r="K1184" s="128">
        <f>(1+target)^($J1184-(MIN(tbl_rep_mon[year])))</f>
        <v>1.7490062499999994</v>
      </c>
      <c r="L1184" s="35">
        <f t="shared" si="131"/>
        <v>0.51</v>
      </c>
      <c r="M1184" s="37">
        <f t="shared" si="132"/>
        <v>38451.745800000004</v>
      </c>
    </row>
    <row r="1185" spans="1:13" x14ac:dyDescent="0.4">
      <c r="A1185" t="s">
        <v>29</v>
      </c>
      <c r="B1185">
        <v>1</v>
      </c>
      <c r="C1185" s="36">
        <v>130567.94</v>
      </c>
      <c r="D1185" s="1">
        <v>45992</v>
      </c>
      <c r="E1185" s="35">
        <f t="shared" si="126"/>
        <v>0.6</v>
      </c>
      <c r="F1185" s="37">
        <f t="shared" si="127"/>
        <v>65283.97</v>
      </c>
      <c r="G1185" s="37">
        <f t="shared" si="128"/>
        <v>39170.381999999998</v>
      </c>
      <c r="H1185" s="36" cm="1">
        <f t="array" ref="H1185">SUMPRODUCT((C1185&gt;tier_floor)*((C1185-tier_floor)*step)*margin_rate)</f>
        <v>28045.382000000001</v>
      </c>
      <c r="I1185" s="37">
        <f t="shared" si="129"/>
        <v>11124.999999999996</v>
      </c>
      <c r="J1185" s="38">
        <f t="shared" si="130"/>
        <v>2025</v>
      </c>
      <c r="K1185" s="128">
        <f>(1+target)^($J1185-(MIN(tbl_rep_mon[year])))</f>
        <v>1.7490062499999994</v>
      </c>
      <c r="L1185" s="35">
        <f t="shared" si="131"/>
        <v>0.42</v>
      </c>
      <c r="M1185" s="37">
        <f t="shared" si="132"/>
        <v>27419.267400000001</v>
      </c>
    </row>
    <row r="1186" spans="1:13" x14ac:dyDescent="0.4">
      <c r="A1186" t="s">
        <v>32</v>
      </c>
      <c r="B1186">
        <v>4</v>
      </c>
      <c r="C1186" s="36">
        <v>58872.65</v>
      </c>
      <c r="D1186" s="1">
        <v>45992</v>
      </c>
      <c r="E1186" s="35">
        <f t="shared" si="126"/>
        <v>0.42</v>
      </c>
      <c r="F1186" s="37">
        <f t="shared" si="127"/>
        <v>29436.325000000001</v>
      </c>
      <c r="G1186" s="37">
        <f t="shared" si="128"/>
        <v>12363.2565</v>
      </c>
      <c r="H1186" s="36" cm="1">
        <f t="array" ref="H1186">SUMPRODUCT((C1186&gt;tier_floor)*((C1186-tier_floor)*step)*margin_rate)</f>
        <v>9113.2564999999995</v>
      </c>
      <c r="I1186" s="37">
        <f t="shared" si="129"/>
        <v>3250</v>
      </c>
      <c r="J1186" s="38">
        <f t="shared" si="130"/>
        <v>2025</v>
      </c>
      <c r="K1186" s="128">
        <f>(1+target)^($J1186-(MIN(tbl_rep_mon[year])))</f>
        <v>1.7490062499999994</v>
      </c>
      <c r="L1186" s="35">
        <f t="shared" si="131"/>
        <v>0.33</v>
      </c>
      <c r="M1186" s="37">
        <f t="shared" si="132"/>
        <v>9713.9872500000001</v>
      </c>
    </row>
    <row r="1187" spans="1:13" x14ac:dyDescent="0.4">
      <c r="A1187" t="s">
        <v>33</v>
      </c>
      <c r="B1187">
        <v>3</v>
      </c>
      <c r="C1187" s="36">
        <v>69892.56</v>
      </c>
      <c r="D1187" s="1">
        <v>45992</v>
      </c>
      <c r="E1187" s="35">
        <f t="shared" si="126"/>
        <v>0.42</v>
      </c>
      <c r="F1187" s="37">
        <f t="shared" si="127"/>
        <v>34946.28</v>
      </c>
      <c r="G1187" s="37">
        <f t="shared" si="128"/>
        <v>14677.437599999999</v>
      </c>
      <c r="H1187" s="36" cm="1">
        <f t="array" ref="H1187">SUMPRODUCT((C1187&gt;tier_floor)*((C1187-tier_floor)*step)*margin_rate)</f>
        <v>11427.437599999999</v>
      </c>
      <c r="I1187" s="37">
        <f t="shared" si="129"/>
        <v>3250</v>
      </c>
      <c r="J1187" s="38">
        <f t="shared" si="130"/>
        <v>2025</v>
      </c>
      <c r="K1187" s="128">
        <f>(1+target)^($J1187-(MIN(tbl_rep_mon[year])))</f>
        <v>1.7490062499999994</v>
      </c>
      <c r="L1187" s="35">
        <f t="shared" si="131"/>
        <v>0.33</v>
      </c>
      <c r="M1187" s="37">
        <f t="shared" si="132"/>
        <v>11532.2724</v>
      </c>
    </row>
    <row r="1188" spans="1:13" x14ac:dyDescent="0.4">
      <c r="A1188" t="s">
        <v>34</v>
      </c>
      <c r="B1188">
        <v>4</v>
      </c>
      <c r="C1188" s="36">
        <v>74987.320000000007</v>
      </c>
      <c r="D1188" s="1">
        <v>45992</v>
      </c>
      <c r="E1188" s="35">
        <f t="shared" si="126"/>
        <v>0.42</v>
      </c>
      <c r="F1188" s="37">
        <f t="shared" si="127"/>
        <v>37493.660000000003</v>
      </c>
      <c r="G1188" s="37">
        <f t="shared" si="128"/>
        <v>15747.337200000002</v>
      </c>
      <c r="H1188" s="36" cm="1">
        <f t="array" ref="H1188">SUMPRODUCT((C1188&gt;tier_floor)*((C1188-tier_floor)*step)*margin_rate)</f>
        <v>12497.337200000002</v>
      </c>
      <c r="I1188" s="37">
        <f t="shared" si="129"/>
        <v>3250</v>
      </c>
      <c r="J1188" s="38">
        <f t="shared" si="130"/>
        <v>2025</v>
      </c>
      <c r="K1188" s="128">
        <f>(1+target)^($J1188-(MIN(tbl_rep_mon[year])))</f>
        <v>1.7490062499999994</v>
      </c>
      <c r="L1188" s="35">
        <f t="shared" si="131"/>
        <v>0.33</v>
      </c>
      <c r="M1188" s="37">
        <f t="shared" si="132"/>
        <v>12372.907800000001</v>
      </c>
    </row>
    <row r="1189" spans="1:13" x14ac:dyDescent="0.4">
      <c r="A1189" t="s">
        <v>37</v>
      </c>
      <c r="B1189">
        <v>4</v>
      </c>
      <c r="C1189" s="36">
        <v>95499.72</v>
      </c>
      <c r="D1189" s="1">
        <v>45992</v>
      </c>
      <c r="E1189" s="35">
        <f t="shared" si="126"/>
        <v>0.51</v>
      </c>
      <c r="F1189" s="37">
        <f t="shared" si="127"/>
        <v>47749.86</v>
      </c>
      <c r="G1189" s="37">
        <f t="shared" si="128"/>
        <v>24352.428599999999</v>
      </c>
      <c r="H1189" s="36" cm="1">
        <f t="array" ref="H1189">SUMPRODUCT((C1189&gt;tier_floor)*((C1189-tier_floor)*step)*margin_rate)</f>
        <v>17727.428600000003</v>
      </c>
      <c r="I1189" s="37">
        <f t="shared" si="129"/>
        <v>6624.9999999999964</v>
      </c>
      <c r="J1189" s="38">
        <f t="shared" si="130"/>
        <v>2025</v>
      </c>
      <c r="K1189" s="128">
        <f>(1+target)^($J1189-(MIN(tbl_rep_mon[year])))</f>
        <v>1.7490062499999994</v>
      </c>
      <c r="L1189" s="35">
        <f t="shared" si="131"/>
        <v>0.42</v>
      </c>
      <c r="M1189" s="37">
        <f t="shared" si="132"/>
        <v>20054.941200000001</v>
      </c>
    </row>
    <row r="1190" spans="1:13" x14ac:dyDescent="0.4">
      <c r="A1190" t="s">
        <v>38</v>
      </c>
      <c r="B1190">
        <v>2</v>
      </c>
      <c r="C1190" s="36">
        <v>106400.56</v>
      </c>
      <c r="D1190" s="1">
        <v>45992</v>
      </c>
      <c r="E1190" s="35">
        <f t="shared" si="126"/>
        <v>0.6</v>
      </c>
      <c r="F1190" s="37">
        <f t="shared" si="127"/>
        <v>53200.28</v>
      </c>
      <c r="G1190" s="37">
        <f t="shared" si="128"/>
        <v>31920.167999999998</v>
      </c>
      <c r="H1190" s="36" cm="1">
        <f t="array" ref="H1190">SUMPRODUCT((C1190&gt;tier_floor)*((C1190-tier_floor)*step)*margin_rate)</f>
        <v>20795.168000000001</v>
      </c>
      <c r="I1190" s="37">
        <f t="shared" si="129"/>
        <v>11124.999999999996</v>
      </c>
      <c r="J1190" s="38">
        <f t="shared" si="130"/>
        <v>2025</v>
      </c>
      <c r="K1190" s="128">
        <f>(1+target)^($J1190-(MIN(tbl_rep_mon[year])))</f>
        <v>1.7490062499999994</v>
      </c>
      <c r="L1190" s="35">
        <f t="shared" si="131"/>
        <v>0.42</v>
      </c>
      <c r="M1190" s="37">
        <f t="shared" si="132"/>
        <v>22344.117599999998</v>
      </c>
    </row>
    <row r="1191" spans="1:13" x14ac:dyDescent="0.4">
      <c r="A1191" t="s">
        <v>39</v>
      </c>
      <c r="B1191">
        <v>2</v>
      </c>
      <c r="C1191" s="36">
        <v>90331.71</v>
      </c>
      <c r="D1191" s="1">
        <v>45992</v>
      </c>
      <c r="E1191" s="35">
        <f t="shared" si="126"/>
        <v>0.51</v>
      </c>
      <c r="F1191" s="37">
        <f t="shared" si="127"/>
        <v>45165.855000000003</v>
      </c>
      <c r="G1191" s="37">
        <f t="shared" si="128"/>
        <v>23034.586050000002</v>
      </c>
      <c r="H1191" s="36" cm="1">
        <f t="array" ref="H1191">SUMPRODUCT((C1191&gt;tier_floor)*((C1191-tier_floor)*step)*margin_rate)</f>
        <v>16409.586050000002</v>
      </c>
      <c r="I1191" s="37">
        <f t="shared" si="129"/>
        <v>6625</v>
      </c>
      <c r="J1191" s="38">
        <f t="shared" si="130"/>
        <v>2025</v>
      </c>
      <c r="K1191" s="128">
        <f>(1+target)^($J1191-(MIN(tbl_rep_mon[year])))</f>
        <v>1.7490062499999994</v>
      </c>
      <c r="L1191" s="35">
        <f t="shared" si="131"/>
        <v>0.42</v>
      </c>
      <c r="M1191" s="37">
        <f t="shared" si="132"/>
        <v>18969.659100000001</v>
      </c>
    </row>
    <row r="1192" spans="1:13" x14ac:dyDescent="0.4">
      <c r="A1192" t="s">
        <v>43</v>
      </c>
      <c r="B1192">
        <v>4</v>
      </c>
      <c r="C1192" s="36">
        <v>73663.56</v>
      </c>
      <c r="D1192" s="1">
        <v>45992</v>
      </c>
      <c r="E1192" s="35">
        <f t="shared" si="126"/>
        <v>0.42</v>
      </c>
      <c r="F1192" s="37">
        <f t="shared" si="127"/>
        <v>36831.78</v>
      </c>
      <c r="G1192" s="37">
        <f t="shared" si="128"/>
        <v>15469.347599999999</v>
      </c>
      <c r="H1192" s="36" cm="1">
        <f t="array" ref="H1192">SUMPRODUCT((C1192&gt;tier_floor)*((C1192-tier_floor)*step)*margin_rate)</f>
        <v>12219.347599999999</v>
      </c>
      <c r="I1192" s="37">
        <f t="shared" si="129"/>
        <v>3250</v>
      </c>
      <c r="J1192" s="38">
        <f t="shared" si="130"/>
        <v>2025</v>
      </c>
      <c r="K1192" s="128">
        <f>(1+target)^($J1192-(MIN(tbl_rep_mon[year])))</f>
        <v>1.7490062499999994</v>
      </c>
      <c r="L1192" s="35">
        <f t="shared" si="131"/>
        <v>0.33</v>
      </c>
      <c r="M1192" s="37">
        <f t="shared" si="132"/>
        <v>12154.4874</v>
      </c>
    </row>
    <row r="1193" spans="1:13" x14ac:dyDescent="0.4">
      <c r="A1193" t="s">
        <v>44</v>
      </c>
      <c r="B1193">
        <v>3</v>
      </c>
      <c r="C1193" s="36">
        <v>63503.89</v>
      </c>
      <c r="D1193" s="1">
        <v>45992</v>
      </c>
      <c r="E1193" s="35">
        <f t="shared" si="126"/>
        <v>0.42</v>
      </c>
      <c r="F1193" s="37">
        <f t="shared" si="127"/>
        <v>31751.945</v>
      </c>
      <c r="G1193" s="37">
        <f t="shared" si="128"/>
        <v>13335.8169</v>
      </c>
      <c r="H1193" s="36" cm="1">
        <f t="array" ref="H1193">SUMPRODUCT((C1193&gt;tier_floor)*((C1193-tier_floor)*step)*margin_rate)</f>
        <v>10085.8169</v>
      </c>
      <c r="I1193" s="37">
        <f t="shared" si="129"/>
        <v>3250</v>
      </c>
      <c r="J1193" s="38">
        <f t="shared" si="130"/>
        <v>2025</v>
      </c>
      <c r="K1193" s="128">
        <f>(1+target)^($J1193-(MIN(tbl_rep_mon[year])))</f>
        <v>1.7490062499999994</v>
      </c>
      <c r="L1193" s="35">
        <f t="shared" si="131"/>
        <v>0.33</v>
      </c>
      <c r="M1193" s="37">
        <f t="shared" si="132"/>
        <v>10478.14185</v>
      </c>
    </row>
    <row r="1194" spans="1:13" x14ac:dyDescent="0.4">
      <c r="A1194" t="s">
        <v>45</v>
      </c>
      <c r="B1194">
        <v>3</v>
      </c>
      <c r="C1194" s="36">
        <v>86127.06</v>
      </c>
      <c r="D1194" s="1">
        <v>45992</v>
      </c>
      <c r="E1194" s="35">
        <f t="shared" si="126"/>
        <v>0.51</v>
      </c>
      <c r="F1194" s="37">
        <f t="shared" si="127"/>
        <v>43063.53</v>
      </c>
      <c r="G1194" s="37">
        <f t="shared" si="128"/>
        <v>21962.400300000001</v>
      </c>
      <c r="H1194" s="36" cm="1">
        <f t="array" ref="H1194">SUMPRODUCT((C1194&gt;tier_floor)*((C1194-tier_floor)*step)*margin_rate)</f>
        <v>15337.400299999998</v>
      </c>
      <c r="I1194" s="37">
        <f t="shared" si="129"/>
        <v>6625.0000000000036</v>
      </c>
      <c r="J1194" s="38">
        <f t="shared" si="130"/>
        <v>2025</v>
      </c>
      <c r="K1194" s="128">
        <f>(1+target)^($J1194-(MIN(tbl_rep_mon[year])))</f>
        <v>1.7490062499999994</v>
      </c>
      <c r="L1194" s="35">
        <f t="shared" si="131"/>
        <v>0.33</v>
      </c>
      <c r="M1194" s="37">
        <f t="shared" si="132"/>
        <v>14210.964900000001</v>
      </c>
    </row>
    <row r="1195" spans="1:13" x14ac:dyDescent="0.4">
      <c r="A1195" t="s">
        <v>46</v>
      </c>
      <c r="B1195">
        <v>4</v>
      </c>
      <c r="C1195" s="36">
        <v>54970.33</v>
      </c>
      <c r="D1195" s="1">
        <v>45992</v>
      </c>
      <c r="E1195" s="35">
        <f t="shared" si="126"/>
        <v>0.42</v>
      </c>
      <c r="F1195" s="37">
        <f t="shared" si="127"/>
        <v>27485.165000000001</v>
      </c>
      <c r="G1195" s="37">
        <f t="shared" si="128"/>
        <v>11543.7693</v>
      </c>
      <c r="H1195" s="36" cm="1">
        <f t="array" ref="H1195">SUMPRODUCT((C1195&gt;tier_floor)*((C1195-tier_floor)*step)*margin_rate)</f>
        <v>8293.7692999999999</v>
      </c>
      <c r="I1195" s="37">
        <f t="shared" si="129"/>
        <v>3250</v>
      </c>
      <c r="J1195" s="38">
        <f t="shared" si="130"/>
        <v>2025</v>
      </c>
      <c r="K1195" s="128">
        <f>(1+target)^($J1195-(MIN(tbl_rep_mon[year])))</f>
        <v>1.7490062499999994</v>
      </c>
      <c r="L1195" s="35">
        <f t="shared" si="131"/>
        <v>0.33</v>
      </c>
      <c r="M1195" s="37">
        <f t="shared" si="132"/>
        <v>9070.1044500000007</v>
      </c>
    </row>
    <row r="1196" spans="1:13" x14ac:dyDescent="0.4">
      <c r="A1196" t="s">
        <v>47</v>
      </c>
      <c r="B1196">
        <v>2</v>
      </c>
      <c r="C1196" s="36">
        <v>96407.62</v>
      </c>
      <c r="D1196" s="1">
        <v>45992</v>
      </c>
      <c r="E1196" s="35">
        <f t="shared" si="126"/>
        <v>0.51</v>
      </c>
      <c r="F1196" s="37">
        <f t="shared" si="127"/>
        <v>48203.81</v>
      </c>
      <c r="G1196" s="37">
        <f t="shared" si="128"/>
        <v>24583.9431</v>
      </c>
      <c r="H1196" s="36" cm="1">
        <f t="array" ref="H1196">SUMPRODUCT((C1196&gt;tier_floor)*((C1196-tier_floor)*step)*margin_rate)</f>
        <v>17958.943099999997</v>
      </c>
      <c r="I1196" s="37">
        <f t="shared" si="129"/>
        <v>6625.0000000000036</v>
      </c>
      <c r="J1196" s="38">
        <f t="shared" si="130"/>
        <v>2025</v>
      </c>
      <c r="K1196" s="128">
        <f>(1+target)^($J1196-(MIN(tbl_rep_mon[year])))</f>
        <v>1.7490062499999994</v>
      </c>
      <c r="L1196" s="35">
        <f t="shared" si="131"/>
        <v>0.42</v>
      </c>
      <c r="M1196" s="37">
        <f t="shared" si="132"/>
        <v>20245.600199999997</v>
      </c>
    </row>
    <row r="1197" spans="1:13" x14ac:dyDescent="0.4">
      <c r="A1197" t="s">
        <v>48</v>
      </c>
      <c r="B1197">
        <v>4</v>
      </c>
      <c r="C1197" s="36">
        <v>73873.48</v>
      </c>
      <c r="D1197" s="1">
        <v>45992</v>
      </c>
      <c r="E1197" s="35">
        <f t="shared" si="126"/>
        <v>0.42</v>
      </c>
      <c r="F1197" s="37">
        <f t="shared" si="127"/>
        <v>36936.74</v>
      </c>
      <c r="G1197" s="37">
        <f t="shared" si="128"/>
        <v>15513.430799999998</v>
      </c>
      <c r="H1197" s="36" cm="1">
        <f t="array" ref="H1197">SUMPRODUCT((C1197&gt;tier_floor)*((C1197-tier_floor)*step)*margin_rate)</f>
        <v>12263.4308</v>
      </c>
      <c r="I1197" s="37">
        <f t="shared" si="129"/>
        <v>3249.9999999999982</v>
      </c>
      <c r="J1197" s="38">
        <f t="shared" si="130"/>
        <v>2025</v>
      </c>
      <c r="K1197" s="128">
        <f>(1+target)^($J1197-(MIN(tbl_rep_mon[year])))</f>
        <v>1.7490062499999994</v>
      </c>
      <c r="L1197" s="35">
        <f t="shared" si="131"/>
        <v>0.33</v>
      </c>
      <c r="M1197" s="37">
        <f t="shared" si="132"/>
        <v>12189.1242</v>
      </c>
    </row>
    <row r="1198" spans="1:13" x14ac:dyDescent="0.4">
      <c r="A1198" t="s">
        <v>49</v>
      </c>
      <c r="B1198">
        <v>2</v>
      </c>
      <c r="C1198" s="36">
        <v>94567.02</v>
      </c>
      <c r="D1198" s="1">
        <v>45992</v>
      </c>
      <c r="E1198" s="35">
        <f t="shared" si="126"/>
        <v>0.51</v>
      </c>
      <c r="F1198" s="37">
        <f t="shared" si="127"/>
        <v>47283.51</v>
      </c>
      <c r="G1198" s="37">
        <f t="shared" si="128"/>
        <v>24114.590100000001</v>
      </c>
      <c r="H1198" s="36" cm="1">
        <f t="array" ref="H1198">SUMPRODUCT((C1198&gt;tier_floor)*((C1198-tier_floor)*step)*margin_rate)</f>
        <v>17489.590100000001</v>
      </c>
      <c r="I1198" s="37">
        <f t="shared" si="129"/>
        <v>6625</v>
      </c>
      <c r="J1198" s="38">
        <f t="shared" si="130"/>
        <v>2025</v>
      </c>
      <c r="K1198" s="128">
        <f>(1+target)^($J1198-(MIN(tbl_rep_mon[year])))</f>
        <v>1.7490062499999994</v>
      </c>
      <c r="L1198" s="35">
        <f t="shared" si="131"/>
        <v>0.42</v>
      </c>
      <c r="M1198" s="37">
        <f t="shared" si="132"/>
        <v>19859.074199999999</v>
      </c>
    </row>
    <row r="1199" spans="1:13" x14ac:dyDescent="0.4">
      <c r="A1199" t="s">
        <v>50</v>
      </c>
      <c r="B1199">
        <v>3</v>
      </c>
      <c r="C1199" s="36">
        <v>80467.05</v>
      </c>
      <c r="D1199" s="1">
        <v>45992</v>
      </c>
      <c r="E1199" s="35">
        <f t="shared" si="126"/>
        <v>0.51</v>
      </c>
      <c r="F1199" s="37">
        <f t="shared" si="127"/>
        <v>40233.525000000001</v>
      </c>
      <c r="G1199" s="37">
        <f t="shared" si="128"/>
        <v>20519.097750000001</v>
      </c>
      <c r="H1199" s="36" cm="1">
        <f t="array" ref="H1199">SUMPRODUCT((C1199&gt;tier_floor)*((C1199-tier_floor)*step)*margin_rate)</f>
        <v>13894.097750000001</v>
      </c>
      <c r="I1199" s="37">
        <f t="shared" si="129"/>
        <v>6625</v>
      </c>
      <c r="J1199" s="38">
        <f t="shared" si="130"/>
        <v>2025</v>
      </c>
      <c r="K1199" s="128">
        <f>(1+target)^($J1199-(MIN(tbl_rep_mon[year])))</f>
        <v>1.7490062499999994</v>
      </c>
      <c r="L1199" s="35">
        <f t="shared" si="131"/>
        <v>0.33</v>
      </c>
      <c r="M1199" s="37">
        <f t="shared" si="132"/>
        <v>13277.063250000001</v>
      </c>
    </row>
    <row r="1200" spans="1:13" x14ac:dyDescent="0.4">
      <c r="A1200" t="s">
        <v>51</v>
      </c>
      <c r="B1200">
        <v>2</v>
      </c>
      <c r="C1200" s="36">
        <v>85353.29</v>
      </c>
      <c r="D1200" s="1">
        <v>45992</v>
      </c>
      <c r="E1200" s="35">
        <f t="shared" si="126"/>
        <v>0.51</v>
      </c>
      <c r="F1200" s="37">
        <f t="shared" si="127"/>
        <v>42676.644999999997</v>
      </c>
      <c r="G1200" s="37">
        <f t="shared" si="128"/>
        <v>21765.088949999998</v>
      </c>
      <c r="H1200" s="36" cm="1">
        <f t="array" ref="H1200">SUMPRODUCT((C1200&gt;tier_floor)*((C1200-tier_floor)*step)*margin_rate)</f>
        <v>15140.088949999999</v>
      </c>
      <c r="I1200" s="37">
        <f t="shared" si="129"/>
        <v>6624.9999999999982</v>
      </c>
      <c r="J1200" s="38">
        <f t="shared" si="130"/>
        <v>2025</v>
      </c>
      <c r="K1200" s="128">
        <f>(1+target)^($J1200-(MIN(tbl_rep_mon[year])))</f>
        <v>1.7490062499999994</v>
      </c>
      <c r="L1200" s="35">
        <f t="shared" si="131"/>
        <v>0.33</v>
      </c>
      <c r="M1200" s="37">
        <f t="shared" si="132"/>
        <v>14083.29285</v>
      </c>
    </row>
    <row r="1201" spans="1:13" x14ac:dyDescent="0.4">
      <c r="A1201" t="s">
        <v>52</v>
      </c>
      <c r="B1201">
        <v>4</v>
      </c>
      <c r="C1201" s="36">
        <v>18895.32</v>
      </c>
      <c r="D1201" s="1">
        <v>45992</v>
      </c>
      <c r="E1201" s="35">
        <f t="shared" si="126"/>
        <v>0.25</v>
      </c>
      <c r="F1201" s="37">
        <f t="shared" si="127"/>
        <v>9447.66</v>
      </c>
      <c r="G1201" s="37">
        <f t="shared" si="128"/>
        <v>2361.915</v>
      </c>
      <c r="H1201" s="36" cm="1">
        <f t="array" ref="H1201">SUMPRODUCT((C1201&gt;tier_floor)*((C1201-tier_floor)*step)*margin_rate)</f>
        <v>2361.915</v>
      </c>
      <c r="I1201" s="37">
        <f t="shared" si="129"/>
        <v>0</v>
      </c>
      <c r="J1201" s="38">
        <f t="shared" si="130"/>
        <v>2025</v>
      </c>
      <c r="K1201" s="128">
        <f>(1+target)^($J1201-(MIN(tbl_rep_mon[year])))</f>
        <v>1.7490062499999994</v>
      </c>
      <c r="L1201" s="35">
        <f t="shared" si="131"/>
        <v>0.25</v>
      </c>
      <c r="M1201" s="37">
        <f t="shared" si="132"/>
        <v>2361.915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FE11-1377-4DDF-849B-BC8E15556B84}">
  <dimension ref="A1:H17"/>
  <sheetViews>
    <sheetView workbookViewId="0">
      <selection activeCell="B17" sqref="B17"/>
    </sheetView>
  </sheetViews>
  <sheetFormatPr defaultRowHeight="14.6" x14ac:dyDescent="0.4"/>
  <cols>
    <col min="2" max="6" width="14.765625" bestFit="1" customWidth="1"/>
    <col min="8" max="8" width="17.3046875" customWidth="1"/>
  </cols>
  <sheetData>
    <row r="1" spans="1:8" ht="23.6" x14ac:dyDescent="0.65">
      <c r="A1" s="42" t="s">
        <v>67</v>
      </c>
      <c r="B1" s="43"/>
      <c r="C1" s="43"/>
      <c r="D1" s="43"/>
      <c r="E1" s="43"/>
      <c r="F1" s="43"/>
      <c r="G1" s="43"/>
      <c r="H1" s="43"/>
    </row>
    <row r="2" spans="1:8" x14ac:dyDescent="0.4">
      <c r="B2" s="40" t="s">
        <v>66</v>
      </c>
      <c r="H2" t="s">
        <v>178</v>
      </c>
    </row>
    <row r="3" spans="1:8" x14ac:dyDescent="0.4">
      <c r="A3" s="40" t="s">
        <v>65</v>
      </c>
      <c r="B3">
        <v>2021</v>
      </c>
      <c r="C3">
        <v>2022</v>
      </c>
      <c r="D3">
        <v>2023</v>
      </c>
      <c r="E3">
        <v>2024</v>
      </c>
      <c r="F3">
        <v>2025</v>
      </c>
    </row>
    <row r="4" spans="1:8" x14ac:dyDescent="0.4">
      <c r="A4">
        <v>1</v>
      </c>
      <c r="B4" s="36">
        <f>SUMIFS(tbl_rep_mon[net_sales],tbl_rep_mon[region_id],$A4,tbl_rep_mon[year],B$3)</f>
        <v>1645566.7400000005</v>
      </c>
      <c r="C4" s="36">
        <f>SUMIFS(tbl_rep_mon[net_sales],tbl_rep_mon[region_id],$A4,tbl_rep_mon[year],C$3)</f>
        <v>2181271.27</v>
      </c>
      <c r="D4" s="36">
        <f>SUMIFS(tbl_rep_mon[net_sales],tbl_rep_mon[region_id],$A4,tbl_rep_mon[year],D$3)</f>
        <v>2475349.12</v>
      </c>
      <c r="E4" s="36">
        <f>SUMIFS(tbl_rep_mon[net_sales],tbl_rep_mon[region_id],$A4,tbl_rep_mon[year],E$3)</f>
        <v>3037173.13</v>
      </c>
      <c r="F4" s="36">
        <f>SUMIFS(tbl_rep_mon[net_sales],tbl_rep_mon[region_id],$A4,tbl_rep_mon[year],F$3)</f>
        <v>3612056.6000000006</v>
      </c>
      <c r="G4" s="36"/>
      <c r="H4" s="36">
        <f>SUM(B4:F4)</f>
        <v>12951416.860000003</v>
      </c>
    </row>
    <row r="5" spans="1:8" x14ac:dyDescent="0.4">
      <c r="A5">
        <v>2</v>
      </c>
      <c r="B5" s="36">
        <f>SUMIFS(tbl_rep_mon[net_sales],tbl_rep_mon[region_id],$A5,tbl_rep_mon[year],B$3)</f>
        <v>3092124.3100000015</v>
      </c>
      <c r="C5" s="36">
        <f>SUMIFS(tbl_rep_mon[net_sales],tbl_rep_mon[region_id],$A5,tbl_rep_mon[year],C$3)</f>
        <v>3682088.850000001</v>
      </c>
      <c r="D5" s="36">
        <f>SUMIFS(tbl_rep_mon[net_sales],tbl_rep_mon[region_id],$A5,tbl_rep_mon[year],D$3)</f>
        <v>4223275.95</v>
      </c>
      <c r="E5" s="36">
        <f>SUMIFS(tbl_rep_mon[net_sales],tbl_rep_mon[region_id],$A5,tbl_rep_mon[year],E$3)</f>
        <v>5056134.41</v>
      </c>
      <c r="F5" s="36">
        <f>SUMIFS(tbl_rep_mon[net_sales],tbl_rep_mon[region_id],$A5,tbl_rep_mon[year],F$3)</f>
        <v>5422073.209999999</v>
      </c>
      <c r="G5" s="36"/>
      <c r="H5" s="36">
        <f>SUM(B5:F5)</f>
        <v>21475696.730000004</v>
      </c>
    </row>
    <row r="6" spans="1:8" x14ac:dyDescent="0.4">
      <c r="A6">
        <v>3</v>
      </c>
      <c r="B6" s="36">
        <f>SUMIFS(tbl_rep_mon[net_sales],tbl_rep_mon[region_id],$A6,tbl_rep_mon[year],B$3)</f>
        <v>3683991.1</v>
      </c>
      <c r="C6" s="36">
        <f>SUMIFS(tbl_rep_mon[net_sales],tbl_rep_mon[region_id],$A6,tbl_rep_mon[year],C$3)</f>
        <v>3770064.3700000006</v>
      </c>
      <c r="D6" s="36">
        <f>SUMIFS(tbl_rep_mon[net_sales],tbl_rep_mon[region_id],$A6,tbl_rep_mon[year],D$3)</f>
        <v>4328408.6000000006</v>
      </c>
      <c r="E6" s="36">
        <f>SUMIFS(tbl_rep_mon[net_sales],tbl_rep_mon[region_id],$A6,tbl_rep_mon[year],E$3)</f>
        <v>4430181.0699999994</v>
      </c>
      <c r="F6" s="36">
        <f>SUMIFS(tbl_rep_mon[net_sales],tbl_rep_mon[region_id],$A6,tbl_rep_mon[year],F$3)</f>
        <v>4925943.55</v>
      </c>
      <c r="G6" s="36"/>
      <c r="H6" s="36">
        <f>SUM(B6:F6)</f>
        <v>21138588.690000001</v>
      </c>
    </row>
    <row r="7" spans="1:8" x14ac:dyDescent="0.4">
      <c r="A7">
        <v>4</v>
      </c>
      <c r="B7" s="36">
        <f>SUMIFS(tbl_rep_mon[net_sales],tbl_rep_mon[region_id],$A7,tbl_rep_mon[year],B$3)</f>
        <v>4719062.6300000008</v>
      </c>
      <c r="C7" s="36">
        <f>SUMIFS(tbl_rep_mon[net_sales],tbl_rep_mon[region_id],$A7,tbl_rep_mon[year],C$3)</f>
        <v>5074345.6500000004</v>
      </c>
      <c r="D7" s="36">
        <f>SUMIFS(tbl_rep_mon[net_sales],tbl_rep_mon[region_id],$A7,tbl_rep_mon[year],D$3)</f>
        <v>5960433.9199999999</v>
      </c>
      <c r="E7" s="36">
        <f>SUMIFS(tbl_rep_mon[net_sales],tbl_rep_mon[region_id],$A7,tbl_rep_mon[year],E$3)</f>
        <v>6622707.7199999988</v>
      </c>
      <c r="F7" s="36">
        <f>SUMIFS(tbl_rep_mon[net_sales],tbl_rep_mon[region_id],$A7,tbl_rep_mon[year],F$3)</f>
        <v>7382402.5199999996</v>
      </c>
      <c r="G7" s="36"/>
      <c r="H7" s="36">
        <f>SUM(B7:F7)</f>
        <v>29758952.440000001</v>
      </c>
    </row>
    <row r="8" spans="1:8" x14ac:dyDescent="0.4">
      <c r="A8" t="s">
        <v>77</v>
      </c>
      <c r="B8" s="36">
        <f>SUM($B4:$B7)</f>
        <v>13140744.780000003</v>
      </c>
      <c r="C8" s="36">
        <f>SUM($C4:$C7)</f>
        <v>14707770.140000002</v>
      </c>
      <c r="D8" s="36">
        <f>SUM($D4:$D7)</f>
        <v>16987467.590000004</v>
      </c>
      <c r="E8" s="36">
        <f>SUM($E4:$E7)</f>
        <v>19146196.329999998</v>
      </c>
      <c r="F8" s="36">
        <f>SUM($F4:$F7)</f>
        <v>21342475.879999999</v>
      </c>
      <c r="G8" s="36"/>
      <c r="H8" s="36">
        <f>SUM(B8:F8)</f>
        <v>85324654.719999999</v>
      </c>
    </row>
    <row r="9" spans="1:8" x14ac:dyDescent="0.4">
      <c r="H9" s="41"/>
    </row>
    <row r="10" spans="1:8" ht="23.6" x14ac:dyDescent="0.65">
      <c r="A10" s="42" t="s">
        <v>68</v>
      </c>
      <c r="B10" s="43"/>
      <c r="C10" s="43"/>
      <c r="D10" s="43"/>
      <c r="E10" s="43"/>
      <c r="F10" s="43"/>
      <c r="G10" s="43"/>
      <c r="H10" s="44"/>
    </row>
    <row r="11" spans="1:8" x14ac:dyDescent="0.4">
      <c r="B11" s="40" t="s">
        <v>66</v>
      </c>
      <c r="H11" s="41" t="s">
        <v>72</v>
      </c>
    </row>
    <row r="12" spans="1:8" x14ac:dyDescent="0.4">
      <c r="A12" s="40" t="s">
        <v>65</v>
      </c>
      <c r="B12">
        <v>2021</v>
      </c>
      <c r="C12">
        <v>2022</v>
      </c>
      <c r="D12">
        <v>2023</v>
      </c>
      <c r="E12">
        <v>2024</v>
      </c>
      <c r="F12">
        <v>2025</v>
      </c>
      <c r="H12" s="41"/>
    </row>
    <row r="13" spans="1:8" x14ac:dyDescent="0.4">
      <c r="A13">
        <v>1</v>
      </c>
      <c r="B13" s="36">
        <f>SUMIFS(tbl_rep_mon[margin_dollars],tbl_rep_mon[region_id],$A13, tbl_rep_mon[year],B$12)</f>
        <v>822783.37000000023</v>
      </c>
      <c r="C13" s="36">
        <f>SUMIFS(tbl_rep_mon[margin_dollars],tbl_rep_mon[region_id],$A13, tbl_rep_mon[year],C$12)</f>
        <v>1090635.635</v>
      </c>
      <c r="D13" s="36">
        <f>SUMIFS(tbl_rep_mon[margin_dollars],tbl_rep_mon[region_id],$A13, tbl_rep_mon[year],D$12)</f>
        <v>1237674.56</v>
      </c>
      <c r="E13" s="36">
        <f>SUMIFS(tbl_rep_mon[margin_dollars],tbl_rep_mon[region_id],$A13, tbl_rep_mon[year],E$12)</f>
        <v>1518586.5649999999</v>
      </c>
      <c r="F13" s="36">
        <f>SUMIFS(tbl_rep_mon[margin_dollars],tbl_rep_mon[region_id],$A13, tbl_rep_mon[year],F$12)</f>
        <v>1806028.3000000003</v>
      </c>
      <c r="G13" s="36"/>
      <c r="H13" s="36">
        <f>SUM(B13:F13)</f>
        <v>6475708.4300000016</v>
      </c>
    </row>
    <row r="14" spans="1:8" x14ac:dyDescent="0.4">
      <c r="A14">
        <v>2</v>
      </c>
      <c r="B14" s="36">
        <f>SUMIFS(tbl_rep_mon[margin_dollars],tbl_rep_mon[region_id],$A14, tbl_rep_mon[year],B$12)</f>
        <v>1546062.1550000007</v>
      </c>
      <c r="C14" s="36">
        <f>SUMIFS(tbl_rep_mon[margin_dollars],tbl_rep_mon[region_id],$A14, tbl_rep_mon[year],C$12)</f>
        <v>1841044.4250000005</v>
      </c>
      <c r="D14" s="36">
        <f>SUMIFS(tbl_rep_mon[margin_dollars],tbl_rep_mon[region_id],$A14, tbl_rep_mon[year],D$12)</f>
        <v>2111637.9750000001</v>
      </c>
      <c r="E14" s="36">
        <f>SUMIFS(tbl_rep_mon[margin_dollars],tbl_rep_mon[region_id],$A14, tbl_rep_mon[year],E$12)</f>
        <v>2528067.2050000001</v>
      </c>
      <c r="F14" s="36">
        <f>SUMIFS(tbl_rep_mon[margin_dollars],tbl_rep_mon[region_id],$A14, tbl_rep_mon[year],F$12)</f>
        <v>2711036.6049999995</v>
      </c>
      <c r="G14" s="36"/>
      <c r="H14" s="36">
        <f>SUM(B14:F14)</f>
        <v>10737848.365000002</v>
      </c>
    </row>
    <row r="15" spans="1:8" x14ac:dyDescent="0.4">
      <c r="A15">
        <v>3</v>
      </c>
      <c r="B15" s="36">
        <f>SUMIFS(tbl_rep_mon[margin_dollars],tbl_rep_mon[region_id],$A15, tbl_rep_mon[year],B$12)</f>
        <v>1841995.55</v>
      </c>
      <c r="C15" s="36">
        <f>SUMIFS(tbl_rep_mon[margin_dollars],tbl_rep_mon[region_id],$A15, tbl_rep_mon[year],C$12)</f>
        <v>1885032.1850000003</v>
      </c>
      <c r="D15" s="36">
        <f>SUMIFS(tbl_rep_mon[margin_dollars],tbl_rep_mon[region_id],$A15, tbl_rep_mon[year],D$12)</f>
        <v>2164204.3000000003</v>
      </c>
      <c r="E15" s="36">
        <f>SUMIFS(tbl_rep_mon[margin_dollars],tbl_rep_mon[region_id],$A15, tbl_rep_mon[year],E$12)</f>
        <v>2215090.5349999997</v>
      </c>
      <c r="F15" s="36">
        <f>SUMIFS(tbl_rep_mon[margin_dollars],tbl_rep_mon[region_id],$A15, tbl_rep_mon[year],F$12)</f>
        <v>2462971.7749999999</v>
      </c>
      <c r="G15" s="36"/>
      <c r="H15" s="36">
        <f>SUM(B15:F15)</f>
        <v>10569294.345000001</v>
      </c>
    </row>
    <row r="16" spans="1:8" x14ac:dyDescent="0.4">
      <c r="A16">
        <v>4</v>
      </c>
      <c r="B16" s="36">
        <f>SUMIFS(tbl_rep_mon[margin_dollars],tbl_rep_mon[region_id],$A16, tbl_rep_mon[year],B$12)</f>
        <v>2359531.3150000004</v>
      </c>
      <c r="C16" s="36">
        <f>SUMIFS(tbl_rep_mon[margin_dollars],tbl_rep_mon[region_id],$A16, tbl_rep_mon[year],C$12)</f>
        <v>2537172.8250000002</v>
      </c>
      <c r="D16" s="36">
        <f>SUMIFS(tbl_rep_mon[margin_dollars],tbl_rep_mon[region_id],$A16, tbl_rep_mon[year],D$12)</f>
        <v>2980216.96</v>
      </c>
      <c r="E16" s="36">
        <f>SUMIFS(tbl_rep_mon[margin_dollars],tbl_rep_mon[region_id],$A16, tbl_rep_mon[year],E$12)</f>
        <v>3311353.8599999994</v>
      </c>
      <c r="F16" s="36">
        <f>SUMIFS(tbl_rep_mon[margin_dollars],tbl_rep_mon[region_id],$A16, tbl_rep_mon[year],F$12)</f>
        <v>3691201.26</v>
      </c>
      <c r="G16" s="36"/>
      <c r="H16" s="36">
        <f>SUM(B16:F16)</f>
        <v>14879476.220000001</v>
      </c>
    </row>
    <row r="17" spans="1:8" x14ac:dyDescent="0.4">
      <c r="A17" t="s">
        <v>77</v>
      </c>
      <c r="B17" s="37">
        <f>SUM($B13:$B16)</f>
        <v>6570372.3900000015</v>
      </c>
      <c r="C17" s="37">
        <f>SUM($C13:$C16)</f>
        <v>7353885.0700000012</v>
      </c>
      <c r="D17" s="37">
        <f>SUM($D13:$D16)</f>
        <v>8493733.7950000018</v>
      </c>
      <c r="E17" s="37">
        <f>SUM($E13:$E16)</f>
        <v>9573098.1649999991</v>
      </c>
      <c r="F17" s="37">
        <f>SUM($F13:$F16)</f>
        <v>10671237.939999999</v>
      </c>
      <c r="H17" s="36">
        <f>SUM(B17:F17)</f>
        <v>42662327.359999999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DE757-72F9-4C4E-B391-C9F4B1C18A8E}">
  <dimension ref="A1:H17"/>
  <sheetViews>
    <sheetView zoomScale="107" workbookViewId="0">
      <selection activeCell="B8" sqref="B8"/>
    </sheetView>
  </sheetViews>
  <sheetFormatPr defaultRowHeight="14.6" x14ac:dyDescent="0.4"/>
  <cols>
    <col min="2" max="2" width="19.07421875" customWidth="1"/>
    <col min="3" max="6" width="14.23046875" bestFit="1" customWidth="1"/>
    <col min="8" max="8" width="22.84375" customWidth="1"/>
    <col min="10" max="10" width="13.69140625" customWidth="1"/>
  </cols>
  <sheetData>
    <row r="1" spans="1:8" ht="23.6" x14ac:dyDescent="0.65">
      <c r="A1" s="47" t="s">
        <v>73</v>
      </c>
      <c r="B1" s="48"/>
      <c r="C1" s="48"/>
      <c r="D1" s="48"/>
      <c r="E1" s="48"/>
      <c r="F1" s="48"/>
      <c r="G1" s="48"/>
      <c r="H1" s="48"/>
    </row>
    <row r="2" spans="1:8" ht="13.75" customHeight="1" x14ac:dyDescent="0.65">
      <c r="A2" s="39"/>
      <c r="B2" s="40" t="s">
        <v>66</v>
      </c>
    </row>
    <row r="3" spans="1:8" x14ac:dyDescent="0.4">
      <c r="A3" s="40" t="s">
        <v>65</v>
      </c>
      <c r="B3">
        <v>2021</v>
      </c>
      <c r="C3">
        <v>2022</v>
      </c>
      <c r="D3">
        <v>2023</v>
      </c>
      <c r="E3">
        <v>2024</v>
      </c>
      <c r="F3">
        <v>2025</v>
      </c>
      <c r="H3" t="s">
        <v>74</v>
      </c>
    </row>
    <row r="4" spans="1:8" x14ac:dyDescent="0.4">
      <c r="A4">
        <v>1</v>
      </c>
      <c r="B4" s="36">
        <f>SUMIFS(tbl_rep_mon[flat_commission],tbl_rep_mon[region_id],$A4,tbl_rep_mon[year],B$3)</f>
        <v>385964.69775000005</v>
      </c>
      <c r="C4" s="36">
        <f>SUMIFS(tbl_rep_mon[flat_commission],tbl_rep_mon[region_id],$A4,tbl_rep_mon[year],C$3)</f>
        <v>591914.91270000022</v>
      </c>
      <c r="D4" s="36">
        <f>SUMIFS(tbl_rep_mon[flat_commission],tbl_rep_mon[region_id],$A4,tbl_rep_mon[year],D$3)</f>
        <v>693159.34799999988</v>
      </c>
      <c r="E4" s="36">
        <f>SUMIFS(tbl_rep_mon[flat_commission],tbl_rep_mon[region_id],$A4,tbl_rep_mon[year],E$3)</f>
        <v>907089.48030000005</v>
      </c>
      <c r="F4" s="36">
        <f>SUMIFS(tbl_rep_mon[flat_commission],tbl_rep_mon[region_id],$A4,tbl_rep_mon[year],F$3)</f>
        <v>1083616.9799999997</v>
      </c>
      <c r="G4" s="36"/>
      <c r="H4" s="36">
        <f>SUM(B4:F4)</f>
        <v>3661745.4187500002</v>
      </c>
    </row>
    <row r="5" spans="1:8" x14ac:dyDescent="0.4">
      <c r="A5">
        <v>2</v>
      </c>
      <c r="B5" s="36">
        <f>SUMIFS(tbl_rep_mon[flat_commission],tbl_rep_mon[region_id],$A5,tbl_rep_mon[year],B$3)</f>
        <v>614858.10250000015</v>
      </c>
      <c r="C5" s="36">
        <f>SUMIFS(tbl_rep_mon[flat_commission],tbl_rep_mon[region_id],$A5,tbl_rep_mon[year],C$3)</f>
        <v>785852.41454999999</v>
      </c>
      <c r="D5" s="36">
        <f>SUMIFS(tbl_rep_mon[flat_commission],tbl_rep_mon[region_id],$A5,tbl_rep_mon[year],D$3)</f>
        <v>979804.83364999993</v>
      </c>
      <c r="E5" s="36">
        <f>SUMIFS(tbl_rep_mon[flat_commission],tbl_rep_mon[region_id],$A5,tbl_rep_mon[year],E$3)</f>
        <v>1266689.2206999997</v>
      </c>
      <c r="F5" s="36">
        <f>SUMIFS(tbl_rep_mon[flat_commission],tbl_rep_mon[region_id],$A5,tbl_rep_mon[year],F$3)</f>
        <v>1447852.1333500005</v>
      </c>
      <c r="G5" s="36"/>
      <c r="H5" s="36">
        <f>SUM(B5:F5)</f>
        <v>5095056.7047500005</v>
      </c>
    </row>
    <row r="6" spans="1:8" x14ac:dyDescent="0.4">
      <c r="A6">
        <v>3</v>
      </c>
      <c r="B6" s="36">
        <f>SUMIFS(tbl_rep_mon[flat_commission],tbl_rep_mon[region_id],$A6,tbl_rep_mon[year],B$3)</f>
        <v>780830.81759999983</v>
      </c>
      <c r="C6" s="36">
        <f>SUMIFS(tbl_rep_mon[flat_commission],tbl_rep_mon[region_id],$A6,tbl_rep_mon[year],C$3)</f>
        <v>821569.91340000031</v>
      </c>
      <c r="D6" s="36">
        <f>SUMIFS(tbl_rep_mon[flat_commission],tbl_rep_mon[region_id],$A6,tbl_rep_mon[year],D$3)</f>
        <v>1006310.8288500004</v>
      </c>
      <c r="E6" s="36">
        <f>SUMIFS(tbl_rep_mon[flat_commission],tbl_rep_mon[region_id],$A6,tbl_rep_mon[year],E$3)</f>
        <v>1069467.8205499998</v>
      </c>
      <c r="F6" s="36">
        <f>SUMIFS(tbl_rep_mon[flat_commission],tbl_rep_mon[region_id],$A6,tbl_rep_mon[year],F$3)</f>
        <v>1231309.9699500003</v>
      </c>
      <c r="G6" s="36"/>
      <c r="H6" s="36">
        <f>SUM(B6:F6)</f>
        <v>4909489.3503500009</v>
      </c>
    </row>
    <row r="7" spans="1:8" x14ac:dyDescent="0.4">
      <c r="A7">
        <v>4</v>
      </c>
      <c r="B7" s="36">
        <f>SUMIFS(tbl_rep_mon[flat_commission],tbl_rep_mon[region_id],$A7,tbl_rep_mon[year],B$3)</f>
        <v>883656.67120000033</v>
      </c>
      <c r="C7" s="36">
        <f>SUMIFS(tbl_rep_mon[flat_commission],tbl_rep_mon[region_id],$A7,tbl_rep_mon[year],C$3)</f>
        <v>1018018.7135000001</v>
      </c>
      <c r="D7" s="36">
        <f>SUMIFS(tbl_rep_mon[flat_commission],tbl_rep_mon[region_id],$A7,tbl_rep_mon[year],D$3)</f>
        <v>1259597.21435</v>
      </c>
      <c r="E7" s="36">
        <f>SUMIFS(tbl_rep_mon[flat_commission],tbl_rep_mon[region_id],$A7,tbl_rep_mon[year],E$3)</f>
        <v>1499079.4645499997</v>
      </c>
      <c r="F7" s="36">
        <f>SUMIFS(tbl_rep_mon[flat_commission],tbl_rep_mon[region_id],$A7,tbl_rep_mon[year],F$3)</f>
        <v>1785206.5244999994</v>
      </c>
      <c r="G7" s="36"/>
      <c r="H7" s="36">
        <f>SUM(B7:F7)</f>
        <v>6445558.5880999994</v>
      </c>
    </row>
    <row r="8" spans="1:8" x14ac:dyDescent="0.4">
      <c r="A8" t="s">
        <v>77</v>
      </c>
      <c r="B8" s="37">
        <f>SUM(B4:B7)</f>
        <v>2665310.2890500003</v>
      </c>
      <c r="C8" s="37">
        <f t="shared" ref="C8:F8" si="0">SUM(C4:C7)</f>
        <v>3217355.9541500006</v>
      </c>
      <c r="D8" s="37">
        <f t="shared" si="0"/>
        <v>3938872.2248499999</v>
      </c>
      <c r="E8" s="37">
        <f t="shared" si="0"/>
        <v>4742325.9860999994</v>
      </c>
      <c r="F8" s="37">
        <f t="shared" si="0"/>
        <v>5547985.6077999994</v>
      </c>
      <c r="H8" s="37">
        <f>SUM(H4:H7)</f>
        <v>20111850.061949998</v>
      </c>
    </row>
    <row r="10" spans="1:8" ht="23.6" x14ac:dyDescent="0.65">
      <c r="A10" s="47" t="s">
        <v>75</v>
      </c>
      <c r="B10" s="48"/>
      <c r="C10" s="48"/>
      <c r="D10" s="48"/>
      <c r="E10" s="48"/>
      <c r="F10" s="48"/>
      <c r="G10" s="48"/>
      <c r="H10" s="48"/>
    </row>
    <row r="11" spans="1:8" ht="23.6" x14ac:dyDescent="0.65">
      <c r="A11" s="39"/>
      <c r="B11" s="40" t="s">
        <v>66</v>
      </c>
    </row>
    <row r="12" spans="1:8" x14ac:dyDescent="0.4">
      <c r="A12" s="40" t="s">
        <v>65</v>
      </c>
      <c r="B12">
        <v>2021</v>
      </c>
      <c r="C12">
        <v>2022</v>
      </c>
      <c r="D12">
        <v>2023</v>
      </c>
      <c r="E12">
        <v>2024</v>
      </c>
      <c r="F12">
        <v>2025</v>
      </c>
      <c r="H12" t="s">
        <v>76</v>
      </c>
    </row>
    <row r="13" spans="1:8" x14ac:dyDescent="0.4">
      <c r="A13">
        <v>1</v>
      </c>
      <c r="B13" s="49">
        <f>SUMIFS(tbl_rep_mon[flat_commission],tbl_rep_mon[region_id],$A13,tbl_rep_mon[year],B$12)/SUMIFS(tbl_rep_mon[margin_dollars],tbl_rep_mon[region_id],$A13,tbl_rep_mon[year],B$12)</f>
        <v>0.46909637678991972</v>
      </c>
      <c r="C13" s="49">
        <f>SUMIFS(tbl_rep_mon[flat_commission],tbl_rep_mon[region_id],$A13,tbl_rep_mon[year],C$12)/SUMIFS(tbl_rep_mon[margin_dollars],tbl_rep_mon[region_id],$A13,tbl_rep_mon[year],C$12)</f>
        <v>0.54272471364829389</v>
      </c>
      <c r="D13" s="49">
        <f>SUMIFS(tbl_rep_mon[flat_commission],tbl_rep_mon[region_id],$A13,tbl_rep_mon[year],D$12)/SUMIFS(tbl_rep_mon[margin_dollars],tbl_rep_mon[region_id],$A13,tbl_rep_mon[year],D$12)</f>
        <v>0.56004976623257074</v>
      </c>
      <c r="E13" s="49">
        <f>SUMIFS(tbl_rep_mon[flat_commission],tbl_rep_mon[region_id],$A13,tbl_rep_mon[year],E$12)/SUMIFS(tbl_rep_mon[margin_dollars],tbl_rep_mon[region_id],$A13,tbl_rep_mon[year],E$12)</f>
        <v>0.59732484219626958</v>
      </c>
      <c r="F13" s="49">
        <f>SUMIFS(tbl_rep_mon[flat_commission],tbl_rep_mon[region_id],$A13,tbl_rep_mon[year],F$12)/SUMIFS(tbl_rep_mon[margin_dollars],tbl_rep_mon[region_id],$A13,tbl_rep_mon[year],F$12)</f>
        <v>0.59999999999999976</v>
      </c>
      <c r="G13" s="36"/>
      <c r="H13" s="49">
        <f>SUMIFS(tbl_rep_mon[flat_commission],tbl_rep_mon[region_id],$A13)/SUMIFS(tbl_rep_mon[margin_dollars],tbl_rep_mon[region_id],$A13)</f>
        <v>0.56545866113833065</v>
      </c>
    </row>
    <row r="14" spans="1:8" x14ac:dyDescent="0.4">
      <c r="A14">
        <v>2</v>
      </c>
      <c r="B14" s="49">
        <f>SUMIFS(tbl_rep_mon[flat_commission],tbl_rep_mon[region_id],$A14,tbl_rep_mon[year],B$12)/SUMIFS(tbl_rep_mon[margin_dollars],tbl_rep_mon[region_id],$A14,tbl_rep_mon[year],B$12)</f>
        <v>0.39769300381070377</v>
      </c>
      <c r="C14" s="49">
        <f>SUMIFS(tbl_rep_mon[flat_commission],tbl_rep_mon[region_id],$A14,tbl_rep_mon[year],C$12)/SUMIFS(tbl_rep_mon[margin_dollars],tbl_rep_mon[region_id],$A14,tbl_rep_mon[year],C$12)</f>
        <v>0.42685141318629494</v>
      </c>
      <c r="D14" s="49">
        <f>SUMIFS(tbl_rep_mon[flat_commission],tbl_rep_mon[region_id],$A14,tbl_rep_mon[year],D$12)/SUMIFS(tbl_rep_mon[margin_dollars],tbl_rep_mon[region_id],$A14,tbl_rep_mon[year],D$12)</f>
        <v>0.46400227939166511</v>
      </c>
      <c r="E14" s="49">
        <f>SUMIFS(tbl_rep_mon[flat_commission],tbl_rep_mon[region_id],$A14,tbl_rep_mon[year],E$12)/SUMIFS(tbl_rep_mon[margin_dollars],tbl_rep_mon[region_id],$A14,tbl_rep_mon[year],E$12)</f>
        <v>0.50105045395737402</v>
      </c>
      <c r="F14" s="49">
        <f>SUMIFS(tbl_rep_mon[flat_commission],tbl_rep_mon[region_id],$A14,tbl_rep_mon[year],F$12)/SUMIFS(tbl_rep_mon[margin_dollars],tbl_rep_mon[region_id],$A14,tbl_rep_mon[year],F$12)</f>
        <v>0.53405849654693271</v>
      </c>
      <c r="G14" s="36"/>
      <c r="H14" s="49">
        <f>SUMIFS(tbl_rep_mon[flat_commission],tbl_rep_mon[region_id],$A14)/SUMIFS(tbl_rep_mon[margin_dollars],tbl_rep_mon[region_id],$A14)</f>
        <v>0.4744951252391803</v>
      </c>
    </row>
    <row r="15" spans="1:8" x14ac:dyDescent="0.4">
      <c r="A15">
        <v>3</v>
      </c>
      <c r="B15" s="49">
        <f>SUMIFS(tbl_rep_mon[flat_commission],tbl_rep_mon[region_id],$A15,tbl_rep_mon[year],B$12)/SUMIFS(tbl_rep_mon[margin_dollars],tbl_rep_mon[region_id],$A15,tbl_rep_mon[year],B$12)</f>
        <v>0.42390483386346933</v>
      </c>
      <c r="C15" s="49">
        <f>SUMIFS(tbl_rep_mon[flat_commission],tbl_rep_mon[region_id],$A15,tbl_rep_mon[year],C$12)/SUMIFS(tbl_rep_mon[margin_dollars],tbl_rep_mon[region_id],$A15,tbl_rep_mon[year],C$12)</f>
        <v>0.43583866627720214</v>
      </c>
      <c r="D15" s="49">
        <f>SUMIFS(tbl_rep_mon[flat_commission],tbl_rep_mon[region_id],$A15,tbl_rep_mon[year],D$12)/SUMIFS(tbl_rep_mon[margin_dollars],tbl_rep_mon[region_id],$A15,tbl_rep_mon[year],D$12)</f>
        <v>0.46497959035105896</v>
      </c>
      <c r="E15" s="49">
        <f>SUMIFS(tbl_rep_mon[flat_commission],tbl_rep_mon[region_id],$A15,tbl_rep_mon[year],E$12)/SUMIFS(tbl_rep_mon[margin_dollars],tbl_rep_mon[region_id],$A15,tbl_rep_mon[year],E$12)</f>
        <v>0.48280998164709327</v>
      </c>
      <c r="F15" s="49">
        <f>SUMIFS(tbl_rep_mon[flat_commission],tbl_rep_mon[region_id],$A15,tbl_rep_mon[year],F$12)/SUMIFS(tbl_rep_mon[margin_dollars],tbl_rep_mon[region_id],$A15,tbl_rep_mon[year],F$12)</f>
        <v>0.49992857508486888</v>
      </c>
      <c r="G15" s="36"/>
      <c r="H15" s="49">
        <f>SUMIFS(tbl_rep_mon[flat_commission],tbl_rep_mon[region_id],$A15)/SUMIFS(tbl_rep_mon[margin_dollars],tbl_rep_mon[region_id],$A15)</f>
        <v>0.46450493193734554</v>
      </c>
    </row>
    <row r="16" spans="1:8" x14ac:dyDescent="0.4">
      <c r="A16">
        <v>4</v>
      </c>
      <c r="B16" s="49">
        <f>SUMIFS(tbl_rep_mon[flat_commission],tbl_rep_mon[region_id],$A16,tbl_rep_mon[year],B$12)/SUMIFS(tbl_rep_mon[margin_dollars],tbl_rep_mon[region_id],$A16,tbl_rep_mon[year],B$12)</f>
        <v>0.37450516786211852</v>
      </c>
      <c r="C16" s="49">
        <f>SUMIFS(tbl_rep_mon[flat_commission],tbl_rep_mon[region_id],$A16,tbl_rep_mon[year],C$12)/SUMIFS(tbl_rep_mon[margin_dollars],tbl_rep_mon[region_id],$A16,tbl_rep_mon[year],C$12)</f>
        <v>0.40124137523032155</v>
      </c>
      <c r="D16" s="49">
        <f>SUMIFS(tbl_rep_mon[flat_commission],tbl_rep_mon[region_id],$A16,tbl_rep_mon[year],D$12)/SUMIFS(tbl_rep_mon[margin_dollars],tbl_rep_mon[region_id],$A16,tbl_rep_mon[year],D$12)</f>
        <v>0.42265285757920124</v>
      </c>
      <c r="E16" s="49">
        <f>SUMIFS(tbl_rep_mon[flat_commission],tbl_rep_mon[region_id],$A16,tbl_rep_mon[year],E$12)/SUMIFS(tbl_rep_mon[margin_dollars],tbl_rep_mon[region_id],$A16,tbl_rep_mon[year],E$12)</f>
        <v>0.45270893052486993</v>
      </c>
      <c r="F16" s="49">
        <f>SUMIFS(tbl_rep_mon[flat_commission],tbl_rep_mon[region_id],$A16,tbl_rep_mon[year],F$12)/SUMIFS(tbl_rep_mon[margin_dollars],tbl_rep_mon[region_id],$A16,tbl_rep_mon[year],F$12)</f>
        <v>0.483638360185215</v>
      </c>
      <c r="G16" s="36"/>
      <c r="H16" s="49">
        <f>SUMIFS(tbl_rep_mon[flat_commission],tbl_rep_mon[region_id],$A16)/SUMIFS(tbl_rep_mon[margin_dollars],tbl_rep_mon[region_id],$A16)</f>
        <v>0.43318450816409171</v>
      </c>
    </row>
    <row r="17" spans="1:8" x14ac:dyDescent="0.4">
      <c r="A17" t="s">
        <v>77</v>
      </c>
      <c r="B17" s="50">
        <f>SUMIFS(tbl_rep_mon[flat_commission],tbl_rep_mon[year],B$12)/SUMIFS(tbl_rep_mon[margin_dollars],tbl_rep_mon[year],B$12)</f>
        <v>0.40565589449793726</v>
      </c>
      <c r="C17" s="50">
        <f>SUMIFS(tbl_rep_mon[flat_commission],tbl_rep_mon[year],C$12)/SUMIFS(tbl_rep_mon[margin_dollars],tbl_rep_mon[year],C$12)</f>
        <v>0.43750424755414352</v>
      </c>
      <c r="D17" s="50">
        <f>SUMIFS(tbl_rep_mon[flat_commission],tbl_rep_mon[year],D$12)/SUMIFS(tbl_rep_mon[margin_dollars],tbl_rep_mon[year],D$12)</f>
        <v>0.463738600704521</v>
      </c>
      <c r="E17" s="50">
        <f>SUMIFS(tbl_rep_mon[flat_commission],tbl_rep_mon[year],E$12)/SUMIFS(tbl_rep_mon[margin_dollars],tbl_rep_mon[year],E$12)</f>
        <v>0.49538048230178144</v>
      </c>
      <c r="F17" s="50">
        <f>SUMIFS(tbl_rep_mon[flat_commission],tbl_rep_mon[year],F$12)/SUMIFS(tbl_rep_mon[margin_dollars],tbl_rep_mon[year],F$12)</f>
        <v>0.51990084365038514</v>
      </c>
      <c r="H17" s="50">
        <f>SUM(tbl_rep_mon[flat_commission])/SUM(tbl_rep_mon[margin_dollars])</f>
        <v>0.47141943036156997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greaterThan" id="{C2D4EF56-0DE9-4795-BF48-2B24CC7354B9}">
            <xm:f>Assumptions!$K$2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B13:F16</xm:sqref>
        </x14:conditionalFormatting>
        <x14:conditionalFormatting xmlns:xm="http://schemas.microsoft.com/office/excel/2006/main">
          <x14:cfRule type="cellIs" priority="1" operator="greaterThan" id="{39804754-3A36-4318-847A-1E8EFAAC660C}">
            <xm:f>Assumptions!$K$2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B17:H17</xm:sqref>
        </x14:conditionalFormatting>
        <x14:conditionalFormatting xmlns:xm="http://schemas.microsoft.com/office/excel/2006/main">
          <x14:cfRule type="cellIs" priority="2" operator="greaterThan" id="{B54A1525-FB42-45EF-B207-1903FC683C4F}">
            <xm:f>Assumptions!$K$2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m:sqref>H13:H16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D96A-A4EF-4D2C-B141-A9D6588B3FEB}">
  <dimension ref="A1:J36"/>
  <sheetViews>
    <sheetView zoomScale="88" workbookViewId="0">
      <selection activeCell="E8" sqref="E8"/>
    </sheetView>
  </sheetViews>
  <sheetFormatPr defaultRowHeight="14.6" x14ac:dyDescent="0.4"/>
  <cols>
    <col min="2" max="2" width="19.07421875" customWidth="1"/>
    <col min="3" max="3" width="12.53515625" bestFit="1" customWidth="1"/>
    <col min="4" max="4" width="16.15234375" customWidth="1"/>
    <col min="5" max="5" width="16.69140625" customWidth="1"/>
    <col min="6" max="6" width="14.23046875" customWidth="1"/>
    <col min="8" max="8" width="16.4609375" customWidth="1"/>
    <col min="10" max="10" width="18.921875" customWidth="1"/>
  </cols>
  <sheetData>
    <row r="1" spans="1:10" ht="23.6" x14ac:dyDescent="0.65">
      <c r="A1" s="45" t="s">
        <v>69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3.75" customHeight="1" x14ac:dyDescent="0.65">
      <c r="A2" s="39"/>
      <c r="B2" s="40" t="s">
        <v>66</v>
      </c>
    </row>
    <row r="3" spans="1:10" x14ac:dyDescent="0.4">
      <c r="A3" s="40" t="s">
        <v>65</v>
      </c>
      <c r="B3">
        <v>2021</v>
      </c>
      <c r="C3">
        <v>2022</v>
      </c>
      <c r="D3">
        <v>2023</v>
      </c>
      <c r="E3">
        <v>2024</v>
      </c>
      <c r="F3">
        <v>2025</v>
      </c>
      <c r="H3" t="s">
        <v>70</v>
      </c>
      <c r="J3" t="s">
        <v>71</v>
      </c>
    </row>
    <row r="4" spans="1:10" x14ac:dyDescent="0.4">
      <c r="A4">
        <v>1</v>
      </c>
      <c r="B4" s="36">
        <f>SUMIFS(tbl_rep_mon[overpay],tbl_rep_mon[region_id],$A4,tbl_rep_mon[year],B$3)</f>
        <v>109500</v>
      </c>
      <c r="C4" s="36">
        <f>SUMIFS(tbl_rep_mon[overpay],tbl_rep_mon[region_id],$A4,tbl_rep_mon[year],C$3)</f>
        <v>188250</v>
      </c>
      <c r="D4" s="36">
        <f>SUMIFS(tbl_rep_mon[overpay],tbl_rep_mon[region_id],$A4,tbl_rep_mon[year],D$3)</f>
        <v>213000</v>
      </c>
      <c r="E4" s="36">
        <f>SUMIFS(tbl_rep_mon[overpay],tbl_rep_mon[region_id],$A4,tbl_rep_mon[year],E$3)</f>
        <v>262500</v>
      </c>
      <c r="F4" s="36">
        <f>SUMIFS(tbl_rep_mon[overpay],tbl_rep_mon[region_id],$A4,tbl_rep_mon[year],F$3)</f>
        <v>267000</v>
      </c>
      <c r="G4" s="36"/>
      <c r="H4" s="36">
        <f>SUM(B4:F4)</f>
        <v>1040250</v>
      </c>
      <c r="I4" s="36"/>
      <c r="J4" s="36">
        <f>SUM(B4:F7)</f>
        <v>5480500</v>
      </c>
    </row>
    <row r="5" spans="1:10" x14ac:dyDescent="0.4">
      <c r="A5">
        <v>2</v>
      </c>
      <c r="B5" s="36">
        <f>SUMIFS(tbl_rep_mon[overpay],tbl_rep_mon[region_id],$A5,tbl_rep_mon[year],B$3)</f>
        <v>148000</v>
      </c>
      <c r="C5" s="36">
        <f>SUMIFS(tbl_rep_mon[overpay],tbl_rep_mon[region_id],$A5,tbl_rep_mon[year],C$3)</f>
        <v>204000</v>
      </c>
      <c r="D5" s="36">
        <f>SUMIFS(tbl_rep_mon[overpay],tbl_rep_mon[region_id],$A5,tbl_rep_mon[year],D$3)</f>
        <v>273875</v>
      </c>
      <c r="E5" s="36">
        <f>SUMIFS(tbl_rep_mon[overpay],tbl_rep_mon[region_id],$A5,tbl_rep_mon[year],E$3)</f>
        <v>366000</v>
      </c>
      <c r="F5" s="36">
        <f>SUMIFS(tbl_rep_mon[overpay],tbl_rep_mon[region_id],$A5,tbl_rep_mon[year],F$3)</f>
        <v>439375</v>
      </c>
      <c r="G5" s="36"/>
      <c r="H5" s="36">
        <f>SUM(B5:F5)</f>
        <v>1431250</v>
      </c>
      <c r="I5" s="36"/>
      <c r="J5" s="36"/>
    </row>
    <row r="6" spans="1:10" x14ac:dyDescent="0.4">
      <c r="A6">
        <v>3</v>
      </c>
      <c r="B6" s="36">
        <f>SUMIFS(tbl_rep_mon[overpay],tbl_rep_mon[region_id],$A6,tbl_rep_mon[year],B$3)</f>
        <v>195125</v>
      </c>
      <c r="C6" s="36">
        <f>SUMIFS(tbl_rep_mon[overpay],tbl_rep_mon[region_id],$A6,tbl_rep_mon[year],C$3)</f>
        <v>214250</v>
      </c>
      <c r="D6" s="36">
        <f>SUMIFS(tbl_rep_mon[overpay],tbl_rep_mon[region_id],$A6,tbl_rep_mon[year],D$3)</f>
        <v>277125</v>
      </c>
      <c r="E6" s="36">
        <f>SUMIFS(tbl_rep_mon[overpay],tbl_rep_mon[region_id],$A6,tbl_rep_mon[year],E$3)</f>
        <v>304375</v>
      </c>
      <c r="F6" s="36">
        <f>SUMIFS(tbl_rep_mon[overpay],tbl_rep_mon[region_id],$A6,tbl_rep_mon[year],F$3)</f>
        <v>358125</v>
      </c>
      <c r="G6" s="36"/>
      <c r="H6" s="36">
        <f>SUM(B6:F6)</f>
        <v>1349000</v>
      </c>
      <c r="I6" s="36"/>
      <c r="J6" s="36"/>
    </row>
    <row r="7" spans="1:10" x14ac:dyDescent="0.4">
      <c r="A7">
        <v>4</v>
      </c>
      <c r="B7" s="36">
        <f>SUMIFS(tbl_rep_mon[overpay],tbl_rep_mon[region_id],$A7,tbl_rep_mon[year],B$3)</f>
        <v>189500</v>
      </c>
      <c r="C7" s="36">
        <f>SUMIFS(tbl_rep_mon[overpay],tbl_rep_mon[region_id],$A7,tbl_rep_mon[year],C$3)</f>
        <v>242875</v>
      </c>
      <c r="D7" s="36">
        <f>SUMIFS(tbl_rep_mon[overpay],tbl_rep_mon[region_id],$A7,tbl_rep_mon[year],D$3)</f>
        <v>313250</v>
      </c>
      <c r="E7" s="36">
        <f>SUMIFS(tbl_rep_mon[overpay],tbl_rep_mon[region_id],$A7,tbl_rep_mon[year],E$3)</f>
        <v>406500</v>
      </c>
      <c r="F7" s="36">
        <f>SUMIFS(tbl_rep_mon[overpay],tbl_rep_mon[region_id],$A7,tbl_rep_mon[year],F$3)</f>
        <v>507875</v>
      </c>
      <c r="G7" s="36"/>
      <c r="H7" s="36">
        <f>SUM(B7:F7)</f>
        <v>1660000</v>
      </c>
      <c r="I7" s="36"/>
      <c r="J7" s="36"/>
    </row>
    <row r="8" spans="1:10" x14ac:dyDescent="0.4">
      <c r="A8" t="s">
        <v>77</v>
      </c>
      <c r="B8" s="37">
        <f>SUM(B4:B7)</f>
        <v>642125</v>
      </c>
      <c r="C8" s="37">
        <f t="shared" ref="C8:H8" si="0">SUM(C4:C7)</f>
        <v>849375</v>
      </c>
      <c r="D8" s="37">
        <f t="shared" si="0"/>
        <v>1077250</v>
      </c>
      <c r="E8" s="37">
        <f t="shared" si="0"/>
        <v>1339375</v>
      </c>
      <c r="F8" s="37">
        <f t="shared" si="0"/>
        <v>1572375</v>
      </c>
      <c r="G8" s="37"/>
      <c r="H8" s="37">
        <f t="shared" si="0"/>
        <v>5480500</v>
      </c>
    </row>
    <row r="11" spans="1:10" ht="23.6" x14ac:dyDescent="0.65">
      <c r="A11" s="45" t="s">
        <v>78</v>
      </c>
      <c r="B11" s="46"/>
      <c r="C11" s="46"/>
      <c r="D11" s="46"/>
      <c r="E11" s="46"/>
      <c r="F11" s="46"/>
      <c r="G11" s="46"/>
      <c r="H11" s="46"/>
      <c r="I11" s="46"/>
      <c r="J11" s="46"/>
    </row>
    <row r="12" spans="1:10" x14ac:dyDescent="0.4">
      <c r="B12" s="40" t="s">
        <v>66</v>
      </c>
    </row>
    <row r="13" spans="1:10" x14ac:dyDescent="0.4">
      <c r="A13" t="s">
        <v>65</v>
      </c>
      <c r="B13">
        <v>2021</v>
      </c>
      <c r="C13">
        <v>2022</v>
      </c>
      <c r="D13">
        <v>2023</v>
      </c>
      <c r="E13">
        <v>2024</v>
      </c>
      <c r="F13">
        <v>2025</v>
      </c>
    </row>
    <row r="14" spans="1:10" x14ac:dyDescent="0.4">
      <c r="A14">
        <v>1</v>
      </c>
      <c r="B14" s="37">
        <f>SUMIFS(tbl_rep_mon[overpay],tbl_rep_mon[region_id],$A14,tbl_rep_mon[year],B$13)/COUNTIFS(tbl_rep_mon[region_id],$A14,tbl_rep_mon[year],B$13)</f>
        <v>4562.5</v>
      </c>
      <c r="C14" s="37">
        <f>SUMIFS(tbl_rep_mon[overpay],tbl_rep_mon[region_id],$A14,tbl_rep_mon[year],C$13)/COUNTIFS(tbl_rep_mon[region_id],$A14,tbl_rep_mon[year],C$13)</f>
        <v>7843.75</v>
      </c>
      <c r="D14" s="37">
        <f>SUMIFS(tbl_rep_mon[overpay],tbl_rep_mon[region_id],$A14,tbl_rep_mon[year],D$13)/COUNTIFS(tbl_rep_mon[region_id],$A14,tbl_rep_mon[year],D$13)</f>
        <v>8875</v>
      </c>
      <c r="E14" s="37">
        <f>SUMIFS(tbl_rep_mon[overpay],tbl_rep_mon[region_id],$A14,tbl_rep_mon[year],E$13)/COUNTIFS(tbl_rep_mon[region_id],$A14,tbl_rep_mon[year],E$13)</f>
        <v>10937.5</v>
      </c>
      <c r="F14" s="37">
        <f>SUMIFS(tbl_rep_mon[overpay],tbl_rep_mon[region_id],$A14,tbl_rep_mon[year],F$13)/COUNTIFS(tbl_rep_mon[region_id],$A14,tbl_rep_mon[year],F$13)</f>
        <v>11125</v>
      </c>
    </row>
    <row r="15" spans="1:10" x14ac:dyDescent="0.4">
      <c r="A15">
        <v>2</v>
      </c>
      <c r="B15" s="37">
        <f>SUMIFS(tbl_rep_mon[overpay],tbl_rep_mon[region_id],$A15,tbl_rep_mon[year],B$13)/COUNTIFS(tbl_rep_mon[region_id],$A15,tbl_rep_mon[year],B$13)</f>
        <v>2508.4745762711864</v>
      </c>
      <c r="C15" s="37">
        <f>SUMIFS(tbl_rep_mon[overpay],tbl_rep_mon[region_id],$A15,tbl_rep_mon[year],C$13)/COUNTIFS(tbl_rep_mon[region_id],$A15,tbl_rep_mon[year],C$13)</f>
        <v>3400</v>
      </c>
      <c r="D15" s="37">
        <f>SUMIFS(tbl_rep_mon[overpay],tbl_rep_mon[region_id],$A15,tbl_rep_mon[year],D$13)/COUNTIFS(tbl_rep_mon[region_id],$A15,tbl_rep_mon[year],D$13)</f>
        <v>4564.583333333333</v>
      </c>
      <c r="E15" s="37">
        <f>SUMIFS(tbl_rep_mon[overpay],tbl_rep_mon[region_id],$A15,tbl_rep_mon[year],E$13)/COUNTIFS(tbl_rep_mon[region_id],$A15,tbl_rep_mon[year],E$13)</f>
        <v>6000</v>
      </c>
      <c r="F15" s="37">
        <f>SUMIFS(tbl_rep_mon[overpay],tbl_rep_mon[region_id],$A15,tbl_rep_mon[year],F$13)/COUNTIFS(tbl_rep_mon[region_id],$A15,tbl_rep_mon[year],F$13)</f>
        <v>7322.916666666667</v>
      </c>
    </row>
    <row r="16" spans="1:10" x14ac:dyDescent="0.4">
      <c r="A16">
        <v>3</v>
      </c>
      <c r="B16" s="37">
        <f>SUMIFS(tbl_rep_mon[overpay],tbl_rep_mon[region_id],$A16,tbl_rep_mon[year],B$13)/COUNTIFS(tbl_rep_mon[region_id],$A16,tbl_rep_mon[year],B$13)</f>
        <v>3252.0833333333335</v>
      </c>
      <c r="C16" s="37">
        <f>SUMIFS(tbl_rep_mon[overpay],tbl_rep_mon[region_id],$A16,tbl_rep_mon[year],C$13)/COUNTIFS(tbl_rep_mon[region_id],$A16,tbl_rep_mon[year],C$13)</f>
        <v>3570.8333333333335</v>
      </c>
      <c r="D16" s="37">
        <f>SUMIFS(tbl_rep_mon[overpay],tbl_rep_mon[region_id],$A16,tbl_rep_mon[year],D$13)/COUNTIFS(tbl_rep_mon[region_id],$A16,tbl_rep_mon[year],D$13)</f>
        <v>4618.75</v>
      </c>
      <c r="E16" s="37">
        <f>SUMIFS(tbl_rep_mon[overpay],tbl_rep_mon[region_id],$A16,tbl_rep_mon[year],E$13)/COUNTIFS(tbl_rep_mon[region_id],$A16,tbl_rep_mon[year],E$13)</f>
        <v>5158.8983050847455</v>
      </c>
      <c r="F16" s="37">
        <f>SUMIFS(tbl_rep_mon[overpay],tbl_rep_mon[region_id],$A16,tbl_rep_mon[year],F$13)/COUNTIFS(tbl_rep_mon[region_id],$A16,tbl_rep_mon[year],F$13)</f>
        <v>5968.75</v>
      </c>
    </row>
    <row r="17" spans="1:6" x14ac:dyDescent="0.4">
      <c r="A17">
        <v>4</v>
      </c>
      <c r="B17" s="37">
        <f>SUMIFS(tbl_rep_mon[overpay],tbl_rep_mon[region_id],$A17,tbl_rep_mon[year],B$13)/COUNTIFS(tbl_rep_mon[region_id],$A17,tbl_rep_mon[year],B$13)</f>
        <v>1953.6082474226805</v>
      </c>
      <c r="C17" s="37">
        <f>SUMIFS(tbl_rep_mon[overpay],tbl_rep_mon[region_id],$A17,tbl_rep_mon[year],C$13)/COUNTIFS(tbl_rep_mon[region_id],$A17,tbl_rep_mon[year],C$13)</f>
        <v>2529.9479166666665</v>
      </c>
      <c r="D17" s="37">
        <f>SUMIFS(tbl_rep_mon[overpay],tbl_rep_mon[region_id],$A17,tbl_rep_mon[year],D$13)/COUNTIFS(tbl_rep_mon[region_id],$A17,tbl_rep_mon[year],D$13)</f>
        <v>3263.0208333333335</v>
      </c>
      <c r="E17" s="37">
        <f>SUMIFS(tbl_rep_mon[overpay],tbl_rep_mon[region_id],$A17,tbl_rep_mon[year],E$13)/COUNTIFS(tbl_rep_mon[region_id],$A17,tbl_rep_mon[year],E$13)</f>
        <v>4234.375</v>
      </c>
      <c r="F17" s="37">
        <f>SUMIFS(tbl_rep_mon[overpay],tbl_rep_mon[region_id],$A17,tbl_rep_mon[year],F$13)/COUNTIFS(tbl_rep_mon[region_id],$A17,tbl_rep_mon[year],F$13)</f>
        <v>5290.364583333333</v>
      </c>
    </row>
    <row r="18" spans="1:6" x14ac:dyDescent="0.4">
      <c r="A18" t="s">
        <v>77</v>
      </c>
      <c r="B18" s="37">
        <f>SUMIFS(tbl_rep_mon[overpay],tbl_rep_mon[year],B$13)/COUNTIFS(tbl_rep_mon[year],B$13)</f>
        <v>2675.5208333333335</v>
      </c>
      <c r="C18" s="37">
        <f>SUMIFS(tbl_rep_mon[overpay],tbl_rep_mon[year],C$13)/COUNTIFS(tbl_rep_mon[year],C$13)</f>
        <v>3539.0625</v>
      </c>
      <c r="D18" s="37">
        <f>SUMIFS(tbl_rep_mon[overpay],tbl_rep_mon[year],D$13)/COUNTIFS(tbl_rep_mon[year],D$13)</f>
        <v>4488.541666666667</v>
      </c>
      <c r="E18" s="37">
        <f>SUMIFS(tbl_rep_mon[overpay],tbl_rep_mon[year],E$13)/COUNTIFS(tbl_rep_mon[year],E$13)</f>
        <v>5580.729166666667</v>
      </c>
      <c r="F18" s="37">
        <f>SUMIFS(tbl_rep_mon[overpay],tbl_rep_mon[year],F$13)/COUNTIFS(tbl_rep_mon[year],F$13)</f>
        <v>6551.5625</v>
      </c>
    </row>
    <row r="20">
      <c r="A20" s="45" t="inlineStr">
        <is>
          <t>Average net sales per rep-month by region and year</t>
        </is>
      </c>
      <c r="B20" s="46"/>
      <c r="C20" s="46"/>
      <c r="D20" s="46"/>
      <c r="E20" s="46"/>
      <c r="F20" s="46"/>
      <c r="G20" s="46"/>
      <c r="H20" s="46"/>
      <c r="I20" s="46"/>
      <c r="J20" s="46"/>
    </row>
    <row r="21">
      <c r="B21" s="40" t="inlineStr">
        <is>
          <t>Year</t>
        </is>
      </c>
    </row>
    <row r="22">
      <c r="A22" t="inlineStr">
        <is>
          <t>Region</t>
        </is>
      </c>
      <c r="B22">
        <v>2021</v>
      </c>
      <c r="C22">
        <v>2022</v>
      </c>
      <c r="D22">
        <v>2023</v>
      </c>
      <c r="E22">
        <v>2024</v>
      </c>
      <c r="F22">
        <v>2025</v>
      </c>
    </row>
    <row r="23">
      <c r="A23">
        <v>1</v>
      </c>
      <c r="B23" s="37">
        <f>AVERAGEIFS(tbl_rep_mon[net_sales],tbl_rep_mon[region_id],$A23,tbl_rep_mon[year],B$22)</f>
        <v>68565.28083333334</v>
      </c>
      <c r="C23" s="37">
        <f>AVERAGEIFS(tbl_rep_mon[net_sales],tbl_rep_mon[region_id],$A23,tbl_rep_mon[year],C$22)</f>
        <v>90886.30291666667</v>
      </c>
      <c r="D23" s="37">
        <f>AVERAGEIFS(tbl_rep_mon[net_sales],tbl_rep_mon[region_id],$A23,tbl_rep_mon[year],D$22)</f>
        <v>103139.54666666668</v>
      </c>
      <c r="E23" s="37">
        <f>AVERAGEIFS(tbl_rep_mon[net_sales],tbl_rep_mon[region_id],$A23,tbl_rep_mon[year],E$22)</f>
        <v>126548.88041666667</v>
      </c>
      <c r="F23" s="37">
        <f>AVERAGEIFS(tbl_rep_mon[net_sales],tbl_rep_mon[region_id],$A23,tbl_rep_mon[year],F$22)</f>
        <v>150502.35833333334</v>
      </c>
    </row>
    <row r="24">
      <c r="A24">
        <v>2</v>
      </c>
      <c r="B24" s="37">
        <f>AVERAGEIFS(tbl_rep_mon[net_sales],tbl_rep_mon[region_id],$A24,tbl_rep_mon[year],B$22)</f>
        <v>52408.8866101695</v>
      </c>
      <c r="C24" s="37">
        <f>AVERAGEIFS(tbl_rep_mon[net_sales],tbl_rep_mon[region_id],$A24,tbl_rep_mon[year],C$22)</f>
        <v>61368.14750000001</v>
      </c>
      <c r="D24" s="37">
        <f>AVERAGEIFS(tbl_rep_mon[net_sales],tbl_rep_mon[region_id],$A24,tbl_rep_mon[year],D$22)</f>
        <v>70387.93250000001</v>
      </c>
      <c r="E24" s="37">
        <f>AVERAGEIFS(tbl_rep_mon[net_sales],tbl_rep_mon[region_id],$A24,tbl_rep_mon[year],E$22)</f>
        <v>82887.44934426228</v>
      </c>
      <c r="F24" s="37">
        <f>AVERAGEIFS(tbl_rep_mon[net_sales],tbl_rep_mon[region_id],$A24,tbl_rep_mon[year],F$22)</f>
        <v>90367.88683333334</v>
      </c>
    </row>
    <row r="25">
      <c r="A25">
        <v>3</v>
      </c>
      <c r="B25" s="37">
        <f>AVERAGEIFS(tbl_rep_mon[net_sales],tbl_rep_mon[region_id],$A25,tbl_rep_mon[year],B$22)</f>
        <v>61399.85166666667</v>
      </c>
      <c r="C25" s="37">
        <f>AVERAGEIFS(tbl_rep_mon[net_sales],tbl_rep_mon[region_id],$A25,tbl_rep_mon[year],C$22)</f>
        <v>62834.40616666667</v>
      </c>
      <c r="D25" s="37">
        <f>AVERAGEIFS(tbl_rep_mon[net_sales],tbl_rep_mon[region_id],$A25,tbl_rep_mon[year],D$22)</f>
        <v>72140.14333333334</v>
      </c>
      <c r="E25" s="37">
        <f>AVERAGEIFS(tbl_rep_mon[net_sales],tbl_rep_mon[region_id],$A25,tbl_rep_mon[year],E$22)</f>
        <v>75087.81474576272</v>
      </c>
      <c r="F25" s="37">
        <f>AVERAGEIFS(tbl_rep_mon[net_sales],tbl_rep_mon[region_id],$A25,tbl_rep_mon[year],F$22)</f>
        <v>82099.05916666664</v>
      </c>
    </row>
    <row r="26">
      <c r="A26">
        <v>4</v>
      </c>
      <c r="B26" s="37">
        <f>AVERAGEIFS(tbl_rep_mon[net_sales],tbl_rep_mon[region_id],$A26,tbl_rep_mon[year],B$22)</f>
        <v>48650.130206185575</v>
      </c>
      <c r="C26" s="37">
        <f>AVERAGEIFS(tbl_rep_mon[net_sales],tbl_rep_mon[region_id],$A26,tbl_rep_mon[year],C$22)</f>
        <v>52857.7671875</v>
      </c>
      <c r="D26" s="37">
        <f>AVERAGEIFS(tbl_rep_mon[net_sales],tbl_rep_mon[region_id],$A26,tbl_rep_mon[year],D$22)</f>
        <v>62087.85333333333</v>
      </c>
      <c r="E26" s="37">
        <f>AVERAGEIFS(tbl_rep_mon[net_sales],tbl_rep_mon[region_id],$A26,tbl_rep_mon[year],E$22)</f>
        <v>68986.53875</v>
      </c>
      <c r="F26" s="37">
        <f>AVERAGEIFS(tbl_rep_mon[net_sales],tbl_rep_mon[region_id],$A26,tbl_rep_mon[year],F$22)</f>
        <v>76900.02625</v>
      </c>
    </row>
    <row r="27">
      <c r="A27" t="inlineStr">
        <is>
          <t>Company</t>
        </is>
      </c>
      <c r="B27" s="37">
        <f>AVERAGEIFS(tbl_rep_mon[net_sales],tbl_rep_mon[year],B$22)</f>
        <v>54753.10325</v>
      </c>
      <c r="C27" s="37">
        <f>AVERAGEIFS(tbl_rep_mon[net_sales],tbl_rep_mon[year],C$22)</f>
        <v>61282.375583333334</v>
      </c>
      <c r="D27" s="37">
        <f>AVERAGEIFS(tbl_rep_mon[net_sales],tbl_rep_mon[year],D$22)</f>
        <v>70781.11495833333</v>
      </c>
      <c r="E27" s="37">
        <f>AVERAGEIFS(tbl_rep_mon[net_sales],tbl_rep_mon[year],E$22)</f>
        <v>79775.81804166667</v>
      </c>
      <c r="F27" s="37">
        <f>AVERAGEIFS(tbl_rep_mon[net_sales],tbl_rep_mon[year],F$22)</f>
        <v>88926.98283333333</v>
      </c>
    </row>
    <row r="29">
      <c r="A29" s="45" t="inlineStr">
        <is>
          <t>Share of rep-months in the top commission tier by region and year</t>
        </is>
      </c>
      <c r="B29" s="46"/>
      <c r="C29" s="46"/>
      <c r="D29" s="46"/>
      <c r="E29" s="46"/>
      <c r="F29" s="46"/>
      <c r="G29" s="46"/>
      <c r="H29" s="46"/>
      <c r="I29" s="46"/>
      <c r="J29" s="46"/>
    </row>
    <row r="30">
      <c r="B30" s="40" t="inlineStr">
        <is>
          <t>Year</t>
        </is>
      </c>
    </row>
    <row r="31">
      <c r="A31" t="inlineStr">
        <is>
          <t>Region</t>
        </is>
      </c>
      <c r="B31">
        <v>2021</v>
      </c>
      <c r="C31">
        <v>2022</v>
      </c>
      <c r="D31">
        <v>2023</v>
      </c>
      <c r="E31">
        <v>2024</v>
      </c>
      <c r="F31">
        <v>2025</v>
      </c>
    </row>
    <row r="32">
      <c r="A32">
        <v>1</v>
      </c>
      <c r="B32" s="171">
        <f>COUNTIFS(tbl_rep_mon[region_id],$A32,tbl_rep_mon[year],B$31,tbl_rep_mon[net_sales],"&gt;="&amp;MAX(tier_floor))/COUNTIFS(tbl_rep_mon[region_id],$A32,tbl_rep_mon[year],B$31)</f>
        <v>0.08333333333333333</v>
      </c>
      <c r="C32" s="171">
        <f>COUNTIFS(tbl_rep_mon[region_id],$A32,tbl_rep_mon[year],C$31,tbl_rep_mon[net_sales],"&gt;="&amp;MAX(tier_floor))/COUNTIFS(tbl_rep_mon[region_id],$A32,tbl_rep_mon[year],C$31)</f>
        <v>0.4166666666666667</v>
      </c>
      <c r="D32" s="171">
        <f>COUNTIFS(tbl_rep_mon[region_id],$A32,tbl_rep_mon[year],D$31,tbl_rep_mon[net_sales],"&gt;="&amp;MAX(tier_floor))/COUNTIFS(tbl_rep_mon[region_id],$A32,tbl_rep_mon[year],D$31)</f>
        <v>0.5</v>
      </c>
      <c r="E32" s="171">
        <f>COUNTIFS(tbl_rep_mon[region_id],$A32,tbl_rep_mon[year],E$31,tbl_rep_mon[net_sales],"&gt;="&amp;MAX(tier_floor))/COUNTIFS(tbl_rep_mon[region_id],$A32,tbl_rep_mon[year],E$31)</f>
        <v>0.9583333333333334</v>
      </c>
      <c r="F32" s="171">
        <f>COUNTIFS(tbl_rep_mon[region_id],$A32,tbl_rep_mon[year],F$31,tbl_rep_mon[net_sales],"&gt;="&amp;MAX(tier_floor))/COUNTIFS(tbl_rep_mon[region_id],$A32,tbl_rep_mon[year],F$31)</f>
        <v>1.0</v>
      </c>
    </row>
    <row r="33">
      <c r="A33">
        <v>2</v>
      </c>
      <c r="B33" s="171">
        <f>COUNTIFS(tbl_rep_mon[region_id],$A33,tbl_rep_mon[year],B$31,tbl_rep_mon[net_sales],"&gt;="&amp;MAX(tier_floor))/COUNTIFS(tbl_rep_mon[region_id],$A33,tbl_rep_mon[year],B$31)</f>
        <v>0.0</v>
      </c>
      <c r="C33" s="171">
        <f>COUNTIFS(tbl_rep_mon[region_id],$A33,tbl_rep_mon[year],C$31,tbl_rep_mon[net_sales],"&gt;="&amp;MAX(tier_floor))/COUNTIFS(tbl_rep_mon[region_id],$A33,tbl_rep_mon[year],C$31)</f>
        <v>0.0</v>
      </c>
      <c r="D33" s="171">
        <f>COUNTIFS(tbl_rep_mon[region_id],$A33,tbl_rep_mon[year],D$31,tbl_rep_mon[net_sales],"&gt;="&amp;MAX(tier_floor))/COUNTIFS(tbl_rep_mon[region_id],$A33,tbl_rep_mon[year],D$31)</f>
        <v>0.016666666666666666</v>
      </c>
      <c r="E33" s="171">
        <f>COUNTIFS(tbl_rep_mon[region_id],$A33,tbl_rep_mon[year],E$31,tbl_rep_mon[net_sales],"&gt;="&amp;MAX(tier_floor))/COUNTIFS(tbl_rep_mon[region_id],$A33,tbl_rep_mon[year],E$31)</f>
        <v>0.11475409836065574</v>
      </c>
      <c r="F33" s="171">
        <f>COUNTIFS(tbl_rep_mon[region_id],$A33,tbl_rep_mon[year],F$31,tbl_rep_mon[net_sales],"&gt;="&amp;MAX(tier_floor))/COUNTIFS(tbl_rep_mon[region_id],$A33,tbl_rep_mon[year],F$31)</f>
        <v>0.3</v>
      </c>
    </row>
    <row r="34">
      <c r="A34">
        <v>3</v>
      </c>
      <c r="B34" s="171">
        <f>COUNTIFS(tbl_rep_mon[region_id],$A34,tbl_rep_mon[year],B$31,tbl_rep_mon[net_sales],"&gt;="&amp;MAX(tier_floor))/COUNTIFS(tbl_rep_mon[region_id],$A34,tbl_rep_mon[year],B$31)</f>
        <v>0.0</v>
      </c>
      <c r="C34" s="171">
        <f>COUNTIFS(tbl_rep_mon[region_id],$A34,tbl_rep_mon[year],C$31,tbl_rep_mon[net_sales],"&gt;="&amp;MAX(tier_floor))/COUNTIFS(tbl_rep_mon[region_id],$A34,tbl_rep_mon[year],C$31)</f>
        <v>0.0</v>
      </c>
      <c r="D34" s="171">
        <f>COUNTIFS(tbl_rep_mon[region_id],$A34,tbl_rep_mon[year],D$31,tbl_rep_mon[net_sales],"&gt;="&amp;MAX(tier_floor))/COUNTIFS(tbl_rep_mon[region_id],$A34,tbl_rep_mon[year],D$31)</f>
        <v>0.03333333333333333</v>
      </c>
      <c r="E34" s="171">
        <f>COUNTIFS(tbl_rep_mon[region_id],$A34,tbl_rep_mon[year],E$31,tbl_rep_mon[net_sales],"&gt;="&amp;MAX(tier_floor))/COUNTIFS(tbl_rep_mon[region_id],$A34,tbl_rep_mon[year],E$31)</f>
        <v>0.1016949152542373</v>
      </c>
      <c r="F34" s="171">
        <f>COUNTIFS(tbl_rep_mon[region_id],$A34,tbl_rep_mon[year],F$31,tbl_rep_mon[net_sales],"&gt;="&amp;MAX(tier_floor))/COUNTIFS(tbl_rep_mon[region_id],$A34,tbl_rep_mon[year],F$31)</f>
        <v>0.15</v>
      </c>
    </row>
    <row r="35">
      <c r="A35">
        <v>4</v>
      </c>
      <c r="B35" s="171">
        <f>COUNTIFS(tbl_rep_mon[region_id],$A35,tbl_rep_mon[year],B$31,tbl_rep_mon[net_sales],"&gt;="&amp;MAX(tier_floor))/COUNTIFS(tbl_rep_mon[region_id],$A35,tbl_rep_mon[year],B$31)</f>
        <v>0.0</v>
      </c>
      <c r="C35" s="171">
        <f>COUNTIFS(tbl_rep_mon[region_id],$A35,tbl_rep_mon[year],C$31,tbl_rep_mon[net_sales],"&gt;="&amp;MAX(tier_floor))/COUNTIFS(tbl_rep_mon[region_id],$A35,tbl_rep_mon[year],C$31)</f>
        <v>0.0</v>
      </c>
      <c r="D35" s="171">
        <f>COUNTIFS(tbl_rep_mon[region_id],$A35,tbl_rep_mon[year],D$31,tbl_rep_mon[net_sales],"&gt;="&amp;MAX(tier_floor))/COUNTIFS(tbl_rep_mon[region_id],$A35,tbl_rep_mon[year],D$31)</f>
        <v>0.0</v>
      </c>
      <c r="E35" s="171">
        <f>COUNTIFS(tbl_rep_mon[region_id],$A35,tbl_rep_mon[year],E$31,tbl_rep_mon[net_sales],"&gt;="&amp;MAX(tier_floor))/COUNTIFS(tbl_rep_mon[region_id],$A35,tbl_rep_mon[year],E$31)</f>
        <v>0.010416666666666666</v>
      </c>
      <c r="F35" s="171">
        <f>COUNTIFS(tbl_rep_mon[region_id],$A35,tbl_rep_mon[year],F$31,tbl_rep_mon[net_sales],"&gt;="&amp;MAX(tier_floor))/COUNTIFS(tbl_rep_mon[region_id],$A35,tbl_rep_mon[year],F$31)</f>
        <v>0.0625</v>
      </c>
    </row>
    <row r="36">
      <c r="A36" t="inlineStr">
        <is>
          <t>Company</t>
        </is>
      </c>
      <c r="B36" s="171">
        <f>COUNTIFS(tbl_rep_mon[year],B$31,tbl_rep_mon[net_sales],"&gt;="&amp;MAX(tier_floor))/COUNTIFS(tbl_rep_mon[year],B$31)</f>
        <v>0.008333333333333333</v>
      </c>
      <c r="C36" s="171">
        <f>COUNTIFS(tbl_rep_mon[year],C$31,tbl_rep_mon[net_sales],"&gt;="&amp;MAX(tier_floor))/COUNTIFS(tbl_rep_mon[year],C$31)</f>
        <v>0.041666666666666664</v>
      </c>
      <c r="D36" s="171">
        <f>COUNTIFS(tbl_rep_mon[year],D$31,tbl_rep_mon[net_sales],"&gt;="&amp;MAX(tier_floor))/COUNTIFS(tbl_rep_mon[year],D$31)</f>
        <v>0.0625</v>
      </c>
      <c r="E36" s="171">
        <f>COUNTIFS(tbl_rep_mon[year],E$31,tbl_rep_mon[net_sales],"&gt;="&amp;MAX(tier_floor))/COUNTIFS(tbl_rep_mon[year],E$31)</f>
        <v>0.15416666666666667</v>
      </c>
      <c r="F36" s="171">
        <f>COUNTIFS(tbl_rep_mon[year],F$31,tbl_rep_mon[net_sales],"&gt;="&amp;MAX(tier_floor))/COUNTIFS(tbl_rep_mon[year],F$31)</f>
        <v>0.2375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D380-4DEB-4FE1-90A8-D4C71E36A0C3}">
  <dimension ref="A1:Z64"/>
  <sheetViews>
    <sheetView zoomScale="81" zoomScaleNormal="115" workbookViewId="0">
      <selection activeCell="V6" sqref="V6"/>
    </sheetView>
  </sheetViews>
  <sheetFormatPr defaultRowHeight="14.6" x14ac:dyDescent="0.4"/>
  <cols>
    <col min="1" max="1" width="15" customWidth="1"/>
    <col min="2" max="26" width="21.53515625" customWidth="1"/>
  </cols>
  <sheetData>
    <row r="1" spans="1:26" ht="39" customHeight="1" thickBot="1" x14ac:dyDescent="0.7">
      <c r="B1" s="57" t="s">
        <v>92</v>
      </c>
      <c r="C1" s="58"/>
      <c r="D1" s="58"/>
      <c r="E1" s="58"/>
      <c r="F1" s="59"/>
      <c r="H1" s="57" t="s">
        <v>93</v>
      </c>
      <c r="I1" s="58"/>
      <c r="J1" s="58"/>
      <c r="K1" s="58"/>
      <c r="L1" s="59"/>
      <c r="N1" s="57" t="s">
        <v>94</v>
      </c>
      <c r="O1" s="58"/>
      <c r="P1" s="58"/>
      <c r="Q1" s="58"/>
      <c r="R1" s="59"/>
      <c r="S1" s="129"/>
      <c r="U1" s="57" t="s">
        <v>95</v>
      </c>
      <c r="V1" s="58"/>
      <c r="W1" s="58"/>
      <c r="X1" s="58"/>
      <c r="Y1" s="59"/>
      <c r="Z1" s="94"/>
    </row>
    <row r="2" spans="1:26" x14ac:dyDescent="0.4">
      <c r="B2" s="60"/>
      <c r="C2" s="3" t="s">
        <v>91</v>
      </c>
      <c r="D2" s="3"/>
      <c r="E2" s="3"/>
      <c r="F2" s="4"/>
      <c r="H2" s="60"/>
      <c r="I2" s="3" t="s">
        <v>91</v>
      </c>
      <c r="J2" s="3"/>
      <c r="K2" s="3"/>
      <c r="L2" s="4"/>
      <c r="N2" s="60"/>
      <c r="O2" s="3" t="s">
        <v>91</v>
      </c>
      <c r="P2" s="3"/>
      <c r="Q2" s="3"/>
      <c r="R2" s="4"/>
      <c r="S2" s="60"/>
      <c r="U2" s="60"/>
      <c r="V2" s="3" t="s">
        <v>91</v>
      </c>
      <c r="W2" s="3"/>
      <c r="X2" s="3"/>
      <c r="Y2" s="4"/>
      <c r="Z2" s="60" t="s">
        <v>77</v>
      </c>
    </row>
    <row r="3" spans="1:26" ht="15" thickBot="1" x14ac:dyDescent="0.45">
      <c r="A3" t="s">
        <v>66</v>
      </c>
      <c r="B3" s="61" t="s">
        <v>90</v>
      </c>
      <c r="C3" s="8">
        <v>1</v>
      </c>
      <c r="D3" s="8">
        <v>2</v>
      </c>
      <c r="E3" s="8">
        <v>3</v>
      </c>
      <c r="F3" s="9">
        <v>4</v>
      </c>
      <c r="H3" s="61" t="s">
        <v>90</v>
      </c>
      <c r="I3" s="8">
        <v>1</v>
      </c>
      <c r="J3" s="8">
        <v>2</v>
      </c>
      <c r="K3" s="8">
        <v>3</v>
      </c>
      <c r="L3" s="9">
        <v>4</v>
      </c>
      <c r="N3" s="61" t="s">
        <v>90</v>
      </c>
      <c r="O3">
        <v>1</v>
      </c>
      <c r="P3">
        <v>2</v>
      </c>
      <c r="Q3">
        <v>3</v>
      </c>
      <c r="R3" s="6">
        <v>4</v>
      </c>
      <c r="S3" s="61" t="s">
        <v>77</v>
      </c>
      <c r="U3" s="61" t="s">
        <v>66</v>
      </c>
      <c r="V3">
        <v>1</v>
      </c>
      <c r="W3">
        <v>2</v>
      </c>
      <c r="X3">
        <v>3</v>
      </c>
      <c r="Y3" s="6">
        <v>4</v>
      </c>
      <c r="Z3" s="61"/>
    </row>
    <row r="4" spans="1:26" x14ac:dyDescent="0.4">
      <c r="A4">
        <f>(YEAR($B4))</f>
        <v>2021</v>
      </c>
      <c r="B4" s="62">
        <v>44197</v>
      </c>
      <c r="C4" s="64">
        <f>SUMIFS(tbl_rep_mon[net_sales],tbl_rep_mon[region_id],C$3,tbl_rep_mon[month_start],$B4)</f>
        <v>138252.38</v>
      </c>
      <c r="D4" s="64">
        <f>SUMIFS(tbl_rep_mon[net_sales],tbl_rep_mon[region_id],D$3,tbl_rep_mon[month_start],$B4)</f>
        <v>244213.7</v>
      </c>
      <c r="E4" s="64">
        <f>SUMIFS(tbl_rep_mon[net_sales],tbl_rep_mon[region_id],E$3,tbl_rep_mon[month_start],$B4)</f>
        <v>281613.83999999997</v>
      </c>
      <c r="F4" s="65">
        <f>SUMIFS(tbl_rep_mon[net_sales],tbl_rep_mon[region_id],F$3,tbl_rep_mon[month_start],$B4)</f>
        <v>375096.13</v>
      </c>
      <c r="H4" s="62">
        <f>$B4</f>
        <v>44197</v>
      </c>
      <c r="I4" s="68">
        <f t="shared" ref="I4:I35" si="0">IFERROR(_xlfn.XLOOKUP(EDATE($B4,-12),$B$4:$B$63,C$4:C$63)*(1+target),_xlfn.XLOOKUP(I$3,region,seeding))</f>
        <v>150000</v>
      </c>
      <c r="J4" s="69">
        <f t="shared" ref="J4:J35" si="1">IFERROR(_xlfn.XLOOKUP(EDATE($B4,-12),$B$4:$B$63,D$4:D$63)*(1+target),_xlfn.XLOOKUP(J$3,region,seeding))</f>
        <v>275000</v>
      </c>
      <c r="K4" s="69">
        <f t="shared" ref="K4:K35" si="2">IFERROR(_xlfn.XLOOKUP(EDATE($B4,-12),$B$4:$B$63,E$4:E$63)*(1+target),_xlfn.XLOOKUP(K$3,region,seeding))</f>
        <v>300000</v>
      </c>
      <c r="L4" s="70">
        <f t="shared" ref="L4:L35" si="3">IFERROR(_xlfn.XLOOKUP(EDATE($B4,-12),$B$4:$B$63,F$4:F$63)*(1+target),_xlfn.XLOOKUP(L$3,region,seeding))</f>
        <v>400000</v>
      </c>
      <c r="N4" s="74">
        <f>$B4</f>
        <v>44197</v>
      </c>
      <c r="O4" s="73">
        <f xml:space="preserve"> C4/I4</f>
        <v>0.92168253333333339</v>
      </c>
      <c r="P4" s="77">
        <f xml:space="preserve"> D4/J4</f>
        <v>0.88804981818181827</v>
      </c>
      <c r="Q4" s="77">
        <f xml:space="preserve"> E4/K4</f>
        <v>0.9387127999999999</v>
      </c>
      <c r="R4" s="78">
        <f xml:space="preserve"> F4/L4</f>
        <v>0.93774032500000004</v>
      </c>
      <c r="S4" s="130">
        <f>SUM(C4:F4)/SUM(I4:L4)</f>
        <v>0.92371204444444444</v>
      </c>
      <c r="U4" s="2">
        <v>2021</v>
      </c>
      <c r="V4" s="85">
        <f>SUMIFS($C$4:$C$63,$A$4:$A$63,$U4)/SUMIFS($I$4:$I$63,$A$4:$A$63,$U4)</f>
        <v>0.91420374444444441</v>
      </c>
      <c r="W4" s="86">
        <f>SUMIFS($D$4:$D$63,$A$4:$A$63,$U4)/SUMIFS($J$4:$J$63,$A$4:$A$63,$U4)</f>
        <v>0.93700736666666673</v>
      </c>
      <c r="X4" s="86">
        <f>SUMIFS($E$4:$E$63,$A$4:$A$63,$U4)/SUMIFS($K$4:$K$63,$A$4:$A$63,$U4)</f>
        <v>1.0233308611111112</v>
      </c>
      <c r="Y4" s="87">
        <f>SUMIFS($F$4:$F$63,$A$4:$A$63,$U4)/SUMIFS($L$4:$L$63,$A$4:$A$63,$U4)</f>
        <v>0.98313804791666659</v>
      </c>
      <c r="Z4" s="95">
        <f>(SUMIF($A$4:$A$63,$U4,$C$4:$C$63)+SUMIF($A$4:$A$63,$U4,$D$4:$D$63)+SUMIF($A$4:$A$63,$U4,$E$4:$E$63)+SUMIF($A$4:$A$63,$U4,$F$4:$F$63))/(SUMIF($A$4:$A$63,$U4,$I$4:$I$63)+SUMIF($A$4:$A$63,$U4,$J$4:$J$63)+SUMIF($A$4:$A$63,$U4,$K$4:$K$63)+SUMIF($A$4:$A$63,$U4,$L$4:$L$63))</f>
        <v>0.97338850222222228</v>
      </c>
    </row>
    <row r="5" spans="1:26" x14ac:dyDescent="0.4">
      <c r="A5">
        <f t="shared" ref="A5:A63" si="4">(YEAR($B5))</f>
        <v>2021</v>
      </c>
      <c r="B5" s="62">
        <f>EDATE($B4,1)</f>
        <v>44228</v>
      </c>
      <c r="C5" s="64">
        <f>SUMIFS(tbl_rep_mon[net_sales],tbl_rep_mon[region_id],C$3,tbl_rep_mon[month_start],$B5)</f>
        <v>141443.56</v>
      </c>
      <c r="D5" s="64">
        <f>SUMIFS(tbl_rep_mon[net_sales],tbl_rep_mon[region_id],D$3,tbl_rep_mon[month_start],$B5)</f>
        <v>244328.90000000002</v>
      </c>
      <c r="E5" s="64">
        <f>SUMIFS(tbl_rep_mon[net_sales],tbl_rep_mon[region_id],E$3,tbl_rep_mon[month_start],$B5)</f>
        <v>311864.63000000006</v>
      </c>
      <c r="F5" s="65">
        <f>SUMIFS(tbl_rep_mon[net_sales],tbl_rep_mon[region_id],F$3,tbl_rep_mon[month_start],$B5)</f>
        <v>368092.58999999997</v>
      </c>
      <c r="H5" s="62">
        <f>$B5</f>
        <v>44228</v>
      </c>
      <c r="I5" s="71">
        <f t="shared" si="0"/>
        <v>150000</v>
      </c>
      <c r="J5" s="64">
        <f t="shared" si="1"/>
        <v>275000</v>
      </c>
      <c r="K5" s="64">
        <f t="shared" si="2"/>
        <v>300000</v>
      </c>
      <c r="L5" s="65">
        <f t="shared" si="3"/>
        <v>400000</v>
      </c>
      <c r="N5" s="74">
        <f>$B5</f>
        <v>44228</v>
      </c>
      <c r="O5" s="79">
        <f t="shared" ref="O5:O63" si="5" xml:space="preserve"> C5/I5</f>
        <v>0.94295706666666668</v>
      </c>
      <c r="P5" s="76">
        <f t="shared" ref="P5:P63" si="6" xml:space="preserve"> D5/J5</f>
        <v>0.88846872727272741</v>
      </c>
      <c r="Q5" s="76">
        <f t="shared" ref="Q5:Q63" si="7" xml:space="preserve"> E5/K5</f>
        <v>1.039548766666667</v>
      </c>
      <c r="R5" s="80">
        <f t="shared" ref="R5:R63" si="8" xml:space="preserve"> F5/L5</f>
        <v>0.92023147499999991</v>
      </c>
      <c r="S5" s="130">
        <f t="shared" ref="S5:S63" si="9">SUM(C5:F5)/SUM(I5:L5)</f>
        <v>0.94731527111111125</v>
      </c>
      <c r="U5" s="5">
        <v>2022</v>
      </c>
      <c r="V5" s="88">
        <f>SUMIFS($C$4:$C$63,$A$4:$A$63,$U5)/SUMIFS($I$4:$I$63,$A$4:$A$63,$U5)</f>
        <v>1.1526470364167403</v>
      </c>
      <c r="W5" s="89">
        <f>SUMIFS($D$4:$D$63,$A$4:$A$63,$U5)/SUMIFS($J$4:$J$63,$A$4:$A$63,$U5)</f>
        <v>1.0354746673507276</v>
      </c>
      <c r="X5" s="89">
        <f>SUMIFS($E$4:$E$63,$A$4:$A$63,$U5)/SUMIFS($K$4:$K$63,$A$4:$A$63,$U5)</f>
        <v>0.88988185760770733</v>
      </c>
      <c r="Y5" s="90">
        <f>SUMIFS($F$4:$F$63,$A$4:$A$63,$U5)/SUMIFS($L$4:$L$63,$A$4:$A$63,$U5)</f>
        <v>0.93503198076031269</v>
      </c>
      <c r="Z5" s="96">
        <f>(SUMIF($A$4:$A$63,$U5,$C$4:$C$63)+SUMIF($A$4:$A$63,$U5,$D$4:$D$63)+SUMIF($A$4:$A$63,$U5,$E$4:$E$63)+SUMIF($A$4:$A$63,$U5,$F$4:$F$63))/(SUMIF($A$4:$A$63,$U5,$I$4:$I$63)+SUMIF($A$4:$A$63,$U5,$J$4:$J$63)+SUMIF($A$4:$A$63,$U5,$K$4:$K$63)+SUMIF($A$4:$A$63,$U5,$L$4:$L$63))</f>
        <v>0.9732603100697641</v>
      </c>
    </row>
    <row r="6" spans="1:26" x14ac:dyDescent="0.4">
      <c r="A6">
        <f t="shared" si="4"/>
        <v>2021</v>
      </c>
      <c r="B6" s="62">
        <f t="shared" ref="B6:B63" si="10">EDATE($B5,1)</f>
        <v>44256</v>
      </c>
      <c r="C6" s="64">
        <f>SUMIFS(tbl_rep_mon[net_sales],tbl_rep_mon[region_id],C$3,tbl_rep_mon[month_start],$B6)</f>
        <v>147263.38</v>
      </c>
      <c r="D6" s="64">
        <f>SUMIFS(tbl_rep_mon[net_sales],tbl_rep_mon[region_id],D$3,tbl_rep_mon[month_start],$B6)</f>
        <v>251196.84000000003</v>
      </c>
      <c r="E6" s="64">
        <f>SUMIFS(tbl_rep_mon[net_sales],tbl_rep_mon[region_id],E$3,tbl_rep_mon[month_start],$B6)</f>
        <v>327068.87</v>
      </c>
      <c r="F6" s="65">
        <f>SUMIFS(tbl_rep_mon[net_sales],tbl_rep_mon[region_id],F$3,tbl_rep_mon[month_start],$B6)</f>
        <v>386945.19</v>
      </c>
      <c r="H6" s="62">
        <f t="shared" ref="H6:H63" si="11">$B6</f>
        <v>44256</v>
      </c>
      <c r="I6" s="71">
        <f t="shared" si="0"/>
        <v>150000</v>
      </c>
      <c r="J6" s="64">
        <f t="shared" si="1"/>
        <v>275000</v>
      </c>
      <c r="K6" s="64">
        <f t="shared" si="2"/>
        <v>300000</v>
      </c>
      <c r="L6" s="65">
        <f t="shared" si="3"/>
        <v>400000</v>
      </c>
      <c r="N6" s="74">
        <f t="shared" ref="N6:N63" si="12">$B6</f>
        <v>44256</v>
      </c>
      <c r="O6" s="79">
        <f t="shared" si="5"/>
        <v>0.9817558666666667</v>
      </c>
      <c r="P6" s="76">
        <f t="shared" si="6"/>
        <v>0.9134430545454546</v>
      </c>
      <c r="Q6" s="76">
        <f t="shared" si="7"/>
        <v>1.0902295666666666</v>
      </c>
      <c r="R6" s="80">
        <f t="shared" si="8"/>
        <v>0.96736297500000001</v>
      </c>
      <c r="S6" s="130">
        <f t="shared" si="9"/>
        <v>0.98886602666666668</v>
      </c>
      <c r="U6" s="5">
        <v>2023</v>
      </c>
      <c r="V6" s="88">
        <f>SUMIFS($C$4:$C$63,$A$4:$A$63,$U6)/SUMIFS($I$4:$I$63,$A$4:$A$63,$U6)</f>
        <v>0.98679954449323248</v>
      </c>
      <c r="W6" s="89">
        <f>SUMIFS($D$4:$D$63,$A$4:$A$63,$U6)/SUMIFS($J$4:$J$63,$A$4:$A$63,$U6)</f>
        <v>0.99737242070223753</v>
      </c>
      <c r="X6" s="89">
        <f>SUMIFS($E$4:$E$63,$A$4:$A$63,$U6)/SUMIFS($K$4:$K$63,$A$4:$A$63,$U6)</f>
        <v>0.9983472948546479</v>
      </c>
      <c r="Y6" s="90">
        <f>SUMIFS($F$4:$F$63,$A$4:$A$63,$U6)/SUMIFS($L$4:$L$63,$A$4:$A$63,$U6)</f>
        <v>1.021409729428129</v>
      </c>
      <c r="Z6" s="96">
        <f>(SUMIF($A$4:$A$63,$U6,$C$4:$C$63)+SUMIF($A$4:$A$63,$U6,$D$4:$D$63)+SUMIF($A$4:$A$63,$U6,$E$4:$E$63)+SUMIF($A$4:$A$63,$U6,$F$4:$F$63))/(SUMIF($A$4:$A$63,$U6,$I$4:$I$63)+SUMIF($A$4:$A$63,$U6,$J$4:$J$63)+SUMIF($A$4:$A$63,$U6,$K$4:$K$63)+SUMIF($A$4:$A$63,$U6,$L$4:$L$63))</f>
        <v>1.0043474168563591</v>
      </c>
    </row>
    <row r="7" spans="1:26" x14ac:dyDescent="0.4">
      <c r="A7">
        <f t="shared" si="4"/>
        <v>2021</v>
      </c>
      <c r="B7" s="62">
        <f t="shared" si="10"/>
        <v>44287</v>
      </c>
      <c r="C7" s="64">
        <f>SUMIFS(tbl_rep_mon[net_sales],tbl_rep_mon[region_id],C$3,tbl_rep_mon[month_start],$B7)</f>
        <v>129495.45</v>
      </c>
      <c r="D7" s="64">
        <f>SUMIFS(tbl_rep_mon[net_sales],tbl_rep_mon[region_id],D$3,tbl_rep_mon[month_start],$B7)</f>
        <v>242796.98000000004</v>
      </c>
      <c r="E7" s="64">
        <f>SUMIFS(tbl_rep_mon[net_sales],tbl_rep_mon[region_id],E$3,tbl_rep_mon[month_start],$B7)</f>
        <v>301087.98</v>
      </c>
      <c r="F7" s="65">
        <f>SUMIFS(tbl_rep_mon[net_sales],tbl_rep_mon[region_id],F$3,tbl_rep_mon[month_start],$B7)</f>
        <v>404903.09</v>
      </c>
      <c r="H7" s="62">
        <f t="shared" si="11"/>
        <v>44287</v>
      </c>
      <c r="I7" s="71">
        <f t="shared" si="0"/>
        <v>150000</v>
      </c>
      <c r="J7" s="64">
        <f t="shared" si="1"/>
        <v>275000</v>
      </c>
      <c r="K7" s="64">
        <f t="shared" si="2"/>
        <v>300000</v>
      </c>
      <c r="L7" s="65">
        <f t="shared" si="3"/>
        <v>400000</v>
      </c>
      <c r="N7" s="74">
        <f t="shared" si="12"/>
        <v>44287</v>
      </c>
      <c r="O7" s="79">
        <f t="shared" si="5"/>
        <v>0.86330299999999993</v>
      </c>
      <c r="P7" s="76">
        <f t="shared" si="6"/>
        <v>0.88289810909090927</v>
      </c>
      <c r="Q7" s="76">
        <f t="shared" si="7"/>
        <v>1.0036266</v>
      </c>
      <c r="R7" s="80">
        <f t="shared" si="8"/>
        <v>1.012257725</v>
      </c>
      <c r="S7" s="130">
        <f t="shared" si="9"/>
        <v>0.95847422222222223</v>
      </c>
      <c r="U7" s="5">
        <v>2024</v>
      </c>
      <c r="V7" s="88">
        <f>SUMIFS($C$4:$C$63,$A$4:$A$63,$U7)/SUMIFS($I$4:$I$63,$A$4:$A$63,$U7)</f>
        <v>1.0669283341508928</v>
      </c>
      <c r="W7" s="89">
        <f>SUMIFS($D$4:$D$63,$A$4:$A$63,$U7)/SUMIFS($J$4:$J$63,$A$4:$A$63,$U7)</f>
        <v>1.0410493345553951</v>
      </c>
      <c r="X7" s="89">
        <f>SUMIFS($E$4:$E$63,$A$4:$A$63,$U7)/SUMIFS($K$4:$K$63,$A$4:$A$63,$U7)</f>
        <v>0.89001102280810362</v>
      </c>
      <c r="Y7" s="90">
        <f>SUMIFS($F$4:$F$63,$A$4:$A$63,$U7)/SUMIFS($L$4:$L$63,$A$4:$A$63,$U7)</f>
        <v>0.9661840657166233</v>
      </c>
      <c r="Z7" s="96">
        <f>(SUMIF($A$4:$A$63,$U7,$C$4:$C$63)+SUMIF($A$4:$A$63,$U7,$D$4:$D$63)+SUMIF($A$4:$A$63,$U7,$E$4:$E$63)+SUMIF($A$4:$A$63,$U7,$F$4:$F$63))/(SUMIF($A$4:$A$63,$U7,$I$4:$I$63)+SUMIF($A$4:$A$63,$U7,$J$4:$J$63)+SUMIF($A$4:$A$63,$U7,$K$4:$K$63)+SUMIF($A$4:$A$63,$U7,$L$4:$L$63))</f>
        <v>0.98006758722022325</v>
      </c>
    </row>
    <row r="8" spans="1:26" ht="15" thickBot="1" x14ac:dyDescent="0.45">
      <c r="A8">
        <f t="shared" si="4"/>
        <v>2021</v>
      </c>
      <c r="B8" s="62">
        <f t="shared" si="10"/>
        <v>44317</v>
      </c>
      <c r="C8" s="64">
        <f>SUMIFS(tbl_rep_mon[net_sales],tbl_rep_mon[region_id],C$3,tbl_rep_mon[month_start],$B8)</f>
        <v>166759.13</v>
      </c>
      <c r="D8" s="64">
        <f>SUMIFS(tbl_rep_mon[net_sales],tbl_rep_mon[region_id],D$3,tbl_rep_mon[month_start],$B8)</f>
        <v>229561.95</v>
      </c>
      <c r="E8" s="64">
        <f>SUMIFS(tbl_rep_mon[net_sales],tbl_rep_mon[region_id],E$3,tbl_rep_mon[month_start],$B8)</f>
        <v>343548.95</v>
      </c>
      <c r="F8" s="65">
        <f>SUMIFS(tbl_rep_mon[net_sales],tbl_rep_mon[region_id],F$3,tbl_rep_mon[month_start],$B8)</f>
        <v>421137.53</v>
      </c>
      <c r="H8" s="62">
        <f t="shared" si="11"/>
        <v>44317</v>
      </c>
      <c r="I8" s="71">
        <f t="shared" si="0"/>
        <v>150000</v>
      </c>
      <c r="J8" s="64">
        <f t="shared" si="1"/>
        <v>275000</v>
      </c>
      <c r="K8" s="64">
        <f t="shared" si="2"/>
        <v>300000</v>
      </c>
      <c r="L8" s="65">
        <f t="shared" si="3"/>
        <v>400000</v>
      </c>
      <c r="N8" s="74">
        <f t="shared" si="12"/>
        <v>44317</v>
      </c>
      <c r="O8" s="79">
        <f t="shared" si="5"/>
        <v>1.1117275333333334</v>
      </c>
      <c r="P8" s="76">
        <f t="shared" si="6"/>
        <v>0.83477072727272728</v>
      </c>
      <c r="Q8" s="76">
        <f t="shared" si="7"/>
        <v>1.1451631666666666</v>
      </c>
      <c r="R8" s="80">
        <f t="shared" si="8"/>
        <v>1.0528438250000001</v>
      </c>
      <c r="S8" s="130">
        <f t="shared" si="9"/>
        <v>1.03200672</v>
      </c>
      <c r="U8" s="7">
        <v>2025</v>
      </c>
      <c r="V8" s="91">
        <f>SUMIFS($C$4:$C$63,$A$4:$A$63,$U8)/SUMIFS($I$4:$I$63,$A$4:$A$63,$U8)</f>
        <v>1.0341586232223434</v>
      </c>
      <c r="W8" s="92">
        <f>SUMIFS($D$4:$D$63,$A$4:$A$63,$U8)/SUMIFS($J$4:$J$63,$A$4:$A$63,$U8)</f>
        <v>0.93250018437805293</v>
      </c>
      <c r="X8" s="92">
        <f>SUMIFS($E$4:$E$63,$A$4:$A$63,$U8)/SUMIFS($K$4:$K$63,$A$4:$A$63,$U8)</f>
        <v>0.96687451511164635</v>
      </c>
      <c r="Y8" s="93">
        <f>SUMIFS($F$4:$F$63,$A$4:$A$63,$U8)/SUMIFS($L$4:$L$63,$A$4:$A$63,$U8)</f>
        <v>0.96931356834420479</v>
      </c>
      <c r="Z8" s="97">
        <f>(SUMIF($A$4:$A$63,$U8,$C$4:$C$63)+SUMIF($A$4:$A$63,$U8,$D$4:$D$63)+SUMIF($A$4:$A$63,$U8,$E$4:$E$63)+SUMIF($A$4:$A$63,$U8,$F$4:$F$63))/(SUMIF($A$4:$A$63,$U8,$I$4:$I$63)+SUMIF($A$4:$A$63,$U8,$J$4:$J$63)+SUMIF($A$4:$A$63,$U8,$K$4:$K$63)+SUMIF($A$4:$A$63,$U8,$L$4:$L$63))</f>
        <v>0.96931392316193132</v>
      </c>
    </row>
    <row r="9" spans="1:26" x14ac:dyDescent="0.4">
      <c r="A9">
        <f t="shared" si="4"/>
        <v>2021</v>
      </c>
      <c r="B9" s="62">
        <f t="shared" si="10"/>
        <v>44348</v>
      </c>
      <c r="C9" s="64">
        <f>SUMIFS(tbl_rep_mon[net_sales],tbl_rep_mon[region_id],C$3,tbl_rep_mon[month_start],$B9)</f>
        <v>162630.91999999998</v>
      </c>
      <c r="D9" s="64">
        <f>SUMIFS(tbl_rep_mon[net_sales],tbl_rep_mon[region_id],D$3,tbl_rep_mon[month_start],$B9)</f>
        <v>282876.73</v>
      </c>
      <c r="E9" s="64">
        <f>SUMIFS(tbl_rep_mon[net_sales],tbl_rep_mon[region_id],E$3,tbl_rep_mon[month_start],$B9)</f>
        <v>309608.33999999997</v>
      </c>
      <c r="F9" s="65">
        <f>SUMIFS(tbl_rep_mon[net_sales],tbl_rep_mon[region_id],F$3,tbl_rep_mon[month_start],$B9)</f>
        <v>468874.69999999995</v>
      </c>
      <c r="H9" s="62">
        <f t="shared" si="11"/>
        <v>44348</v>
      </c>
      <c r="I9" s="71">
        <f t="shared" si="0"/>
        <v>150000</v>
      </c>
      <c r="J9" s="64">
        <f t="shared" si="1"/>
        <v>275000</v>
      </c>
      <c r="K9" s="64">
        <f t="shared" si="2"/>
        <v>300000</v>
      </c>
      <c r="L9" s="65">
        <f t="shared" si="3"/>
        <v>400000</v>
      </c>
      <c r="N9" s="74">
        <f t="shared" si="12"/>
        <v>44348</v>
      </c>
      <c r="O9" s="79">
        <f t="shared" si="5"/>
        <v>1.0842061333333333</v>
      </c>
      <c r="P9" s="76">
        <f t="shared" si="6"/>
        <v>1.0286426545454546</v>
      </c>
      <c r="Q9" s="76">
        <f t="shared" si="7"/>
        <v>1.0320277999999998</v>
      </c>
      <c r="R9" s="80">
        <f t="shared" si="8"/>
        <v>1.1721867499999998</v>
      </c>
      <c r="S9" s="130">
        <f t="shared" si="9"/>
        <v>1.0879917244444444</v>
      </c>
    </row>
    <row r="10" spans="1:26" x14ac:dyDescent="0.4">
      <c r="A10">
        <f t="shared" si="4"/>
        <v>2021</v>
      </c>
      <c r="B10" s="62">
        <f t="shared" si="10"/>
        <v>44378</v>
      </c>
      <c r="C10" s="64">
        <f>SUMIFS(tbl_rep_mon[net_sales],tbl_rep_mon[region_id],C$3,tbl_rep_mon[month_start],$B10)</f>
        <v>118022</v>
      </c>
      <c r="D10" s="64">
        <f>SUMIFS(tbl_rep_mon[net_sales],tbl_rep_mon[region_id],D$3,tbl_rep_mon[month_start],$B10)</f>
        <v>307125.63</v>
      </c>
      <c r="E10" s="64">
        <f>SUMIFS(tbl_rep_mon[net_sales],tbl_rep_mon[region_id],E$3,tbl_rep_mon[month_start],$B10)</f>
        <v>331691.45999999996</v>
      </c>
      <c r="F10" s="65">
        <f>SUMIFS(tbl_rep_mon[net_sales],tbl_rep_mon[region_id],F$3,tbl_rep_mon[month_start],$B10)</f>
        <v>423938.31</v>
      </c>
      <c r="H10" s="62">
        <f t="shared" si="11"/>
        <v>44378</v>
      </c>
      <c r="I10" s="71">
        <f t="shared" si="0"/>
        <v>150000</v>
      </c>
      <c r="J10" s="64">
        <f t="shared" si="1"/>
        <v>275000</v>
      </c>
      <c r="K10" s="64">
        <f t="shared" si="2"/>
        <v>300000</v>
      </c>
      <c r="L10" s="65">
        <f t="shared" si="3"/>
        <v>400000</v>
      </c>
      <c r="N10" s="74">
        <f t="shared" si="12"/>
        <v>44378</v>
      </c>
      <c r="O10" s="79">
        <f t="shared" si="5"/>
        <v>0.78681333333333336</v>
      </c>
      <c r="P10" s="76">
        <f t="shared" si="6"/>
        <v>1.1168204727272728</v>
      </c>
      <c r="Q10" s="76">
        <f t="shared" si="7"/>
        <v>1.1056381999999998</v>
      </c>
      <c r="R10" s="80">
        <f t="shared" si="8"/>
        <v>1.0598457750000001</v>
      </c>
      <c r="S10" s="130">
        <f t="shared" si="9"/>
        <v>1.049579911111111</v>
      </c>
    </row>
    <row r="11" spans="1:26" x14ac:dyDescent="0.4">
      <c r="A11">
        <f t="shared" si="4"/>
        <v>2021</v>
      </c>
      <c r="B11" s="62">
        <f t="shared" si="10"/>
        <v>44409</v>
      </c>
      <c r="C11" s="64">
        <f>SUMIFS(tbl_rep_mon[net_sales],tbl_rep_mon[region_id],C$3,tbl_rep_mon[month_start],$B11)</f>
        <v>134309.01</v>
      </c>
      <c r="D11" s="64">
        <f>SUMIFS(tbl_rep_mon[net_sales],tbl_rep_mon[region_id],D$3,tbl_rep_mon[month_start],$B11)</f>
        <v>278785.88</v>
      </c>
      <c r="E11" s="64">
        <f>SUMIFS(tbl_rep_mon[net_sales],tbl_rep_mon[region_id],E$3,tbl_rep_mon[month_start],$B11)</f>
        <v>316787.55</v>
      </c>
      <c r="F11" s="65">
        <f>SUMIFS(tbl_rep_mon[net_sales],tbl_rep_mon[region_id],F$3,tbl_rep_mon[month_start],$B11)</f>
        <v>375339.36</v>
      </c>
      <c r="H11" s="62">
        <f t="shared" si="11"/>
        <v>44409</v>
      </c>
      <c r="I11" s="71">
        <f t="shared" si="0"/>
        <v>150000</v>
      </c>
      <c r="J11" s="64">
        <f t="shared" si="1"/>
        <v>275000</v>
      </c>
      <c r="K11" s="64">
        <f t="shared" si="2"/>
        <v>300000</v>
      </c>
      <c r="L11" s="65">
        <f t="shared" si="3"/>
        <v>400000</v>
      </c>
      <c r="N11" s="74">
        <f t="shared" si="12"/>
        <v>44409</v>
      </c>
      <c r="O11" s="79">
        <f t="shared" si="5"/>
        <v>0.89539340000000012</v>
      </c>
      <c r="P11" s="76">
        <f t="shared" si="6"/>
        <v>1.0137668363636363</v>
      </c>
      <c r="Q11" s="76">
        <f t="shared" si="7"/>
        <v>1.0559585</v>
      </c>
      <c r="R11" s="80">
        <f t="shared" si="8"/>
        <v>0.93834839999999997</v>
      </c>
      <c r="S11" s="130">
        <f t="shared" si="9"/>
        <v>0.98241937777777766</v>
      </c>
    </row>
    <row r="12" spans="1:26" x14ac:dyDescent="0.4">
      <c r="A12">
        <f t="shared" si="4"/>
        <v>2021</v>
      </c>
      <c r="B12" s="62">
        <f t="shared" si="10"/>
        <v>44440</v>
      </c>
      <c r="C12" s="64">
        <f>SUMIFS(tbl_rep_mon[net_sales],tbl_rep_mon[region_id],C$3,tbl_rep_mon[month_start],$B12)</f>
        <v>133060.46000000002</v>
      </c>
      <c r="D12" s="64">
        <f>SUMIFS(tbl_rep_mon[net_sales],tbl_rep_mon[region_id],D$3,tbl_rep_mon[month_start],$B12)</f>
        <v>299839.90000000002</v>
      </c>
      <c r="E12" s="64">
        <f>SUMIFS(tbl_rep_mon[net_sales],tbl_rep_mon[region_id],E$3,tbl_rep_mon[month_start],$B12)</f>
        <v>317122.93000000005</v>
      </c>
      <c r="F12" s="65">
        <f>SUMIFS(tbl_rep_mon[net_sales],tbl_rep_mon[region_id],F$3,tbl_rep_mon[month_start],$B12)</f>
        <v>386346.70999999996</v>
      </c>
      <c r="H12" s="62">
        <f t="shared" si="11"/>
        <v>44440</v>
      </c>
      <c r="I12" s="71">
        <f t="shared" si="0"/>
        <v>150000</v>
      </c>
      <c r="J12" s="64">
        <f t="shared" si="1"/>
        <v>275000</v>
      </c>
      <c r="K12" s="64">
        <f t="shared" si="2"/>
        <v>300000</v>
      </c>
      <c r="L12" s="65">
        <f t="shared" si="3"/>
        <v>400000</v>
      </c>
      <c r="N12" s="74">
        <f t="shared" si="12"/>
        <v>44440</v>
      </c>
      <c r="O12" s="79">
        <f t="shared" si="5"/>
        <v>0.8870697333333335</v>
      </c>
      <c r="P12" s="76">
        <f t="shared" si="6"/>
        <v>1.0903269090909091</v>
      </c>
      <c r="Q12" s="76">
        <f t="shared" si="7"/>
        <v>1.0570764333333336</v>
      </c>
      <c r="R12" s="80">
        <f t="shared" si="8"/>
        <v>0.96586677499999996</v>
      </c>
      <c r="S12" s="130">
        <f t="shared" si="9"/>
        <v>1.0101066666666667</v>
      </c>
    </row>
    <row r="13" spans="1:26" x14ac:dyDescent="0.4">
      <c r="A13">
        <f t="shared" si="4"/>
        <v>2021</v>
      </c>
      <c r="B13" s="62">
        <f t="shared" si="10"/>
        <v>44470</v>
      </c>
      <c r="C13" s="64">
        <f>SUMIFS(tbl_rep_mon[net_sales],tbl_rep_mon[region_id],C$3,tbl_rep_mon[month_start],$B13)</f>
        <v>141755.18</v>
      </c>
      <c r="D13" s="64">
        <f>SUMIFS(tbl_rep_mon[net_sales],tbl_rep_mon[region_id],D$3,tbl_rep_mon[month_start],$B13)</f>
        <v>254179.88999999998</v>
      </c>
      <c r="E13" s="64">
        <f>SUMIFS(tbl_rep_mon[net_sales],tbl_rep_mon[region_id],E$3,tbl_rep_mon[month_start],$B13)</f>
        <v>286815.39</v>
      </c>
      <c r="F13" s="65">
        <f>SUMIFS(tbl_rep_mon[net_sales],tbl_rep_mon[region_id],F$3,tbl_rep_mon[month_start],$B13)</f>
        <v>367279.01</v>
      </c>
      <c r="H13" s="62">
        <f t="shared" si="11"/>
        <v>44470</v>
      </c>
      <c r="I13" s="71">
        <f t="shared" si="0"/>
        <v>150000</v>
      </c>
      <c r="J13" s="64">
        <f t="shared" si="1"/>
        <v>275000</v>
      </c>
      <c r="K13" s="64">
        <f t="shared" si="2"/>
        <v>300000</v>
      </c>
      <c r="L13" s="65">
        <f t="shared" si="3"/>
        <v>400000</v>
      </c>
      <c r="N13" s="74">
        <f t="shared" si="12"/>
        <v>44470</v>
      </c>
      <c r="O13" s="79">
        <f t="shared" si="5"/>
        <v>0.94503453333333332</v>
      </c>
      <c r="P13" s="76">
        <f t="shared" si="6"/>
        <v>0.92429050909090904</v>
      </c>
      <c r="Q13" s="76">
        <f t="shared" si="7"/>
        <v>0.95605130000000005</v>
      </c>
      <c r="R13" s="80">
        <f t="shared" si="8"/>
        <v>0.91819752500000007</v>
      </c>
      <c r="S13" s="130">
        <f t="shared" si="9"/>
        <v>0.93335952888888885</v>
      </c>
    </row>
    <row r="14" spans="1:26" x14ac:dyDescent="0.4">
      <c r="A14">
        <f t="shared" si="4"/>
        <v>2021</v>
      </c>
      <c r="B14" s="62">
        <f t="shared" si="10"/>
        <v>44501</v>
      </c>
      <c r="C14" s="64">
        <f>SUMIFS(tbl_rep_mon[net_sales],tbl_rep_mon[region_id],C$3,tbl_rep_mon[month_start],$B14)</f>
        <v>119791</v>
      </c>
      <c r="D14" s="64">
        <f>SUMIFS(tbl_rep_mon[net_sales],tbl_rep_mon[region_id],D$3,tbl_rep_mon[month_start],$B14)</f>
        <v>209062.93</v>
      </c>
      <c r="E14" s="64">
        <f>SUMIFS(tbl_rep_mon[net_sales],tbl_rep_mon[region_id],E$3,tbl_rep_mon[month_start],$B14)</f>
        <v>277007.87</v>
      </c>
      <c r="F14" s="65">
        <f>SUMIFS(tbl_rep_mon[net_sales],tbl_rep_mon[region_id],F$3,tbl_rep_mon[month_start],$B14)</f>
        <v>369094.71000000008</v>
      </c>
      <c r="H14" s="62">
        <f t="shared" si="11"/>
        <v>44501</v>
      </c>
      <c r="I14" s="71">
        <f t="shared" si="0"/>
        <v>150000</v>
      </c>
      <c r="J14" s="64">
        <f t="shared" si="1"/>
        <v>275000</v>
      </c>
      <c r="K14" s="64">
        <f t="shared" si="2"/>
        <v>300000</v>
      </c>
      <c r="L14" s="65">
        <f t="shared" si="3"/>
        <v>400000</v>
      </c>
      <c r="N14" s="74">
        <f t="shared" si="12"/>
        <v>44501</v>
      </c>
      <c r="O14" s="79">
        <f t="shared" si="5"/>
        <v>0.79860666666666669</v>
      </c>
      <c r="P14" s="76">
        <f t="shared" si="6"/>
        <v>0.76022883636363636</v>
      </c>
      <c r="Q14" s="76">
        <f t="shared" si="7"/>
        <v>0.92335956666666663</v>
      </c>
      <c r="R14" s="80">
        <f t="shared" si="8"/>
        <v>0.92273677500000018</v>
      </c>
      <c r="S14" s="130">
        <f t="shared" si="9"/>
        <v>0.86662800888888902</v>
      </c>
    </row>
    <row r="15" spans="1:26" x14ac:dyDescent="0.4">
      <c r="A15">
        <f t="shared" si="4"/>
        <v>2021</v>
      </c>
      <c r="B15" s="62">
        <f t="shared" si="10"/>
        <v>44531</v>
      </c>
      <c r="C15" s="64">
        <f>SUMIFS(tbl_rep_mon[net_sales],tbl_rep_mon[region_id],C$3,tbl_rep_mon[month_start],$B15)</f>
        <v>112784.27</v>
      </c>
      <c r="D15" s="64">
        <f>SUMIFS(tbl_rep_mon[net_sales],tbl_rep_mon[region_id],D$3,tbl_rep_mon[month_start],$B15)</f>
        <v>248154.97999999998</v>
      </c>
      <c r="E15" s="64">
        <f>SUMIFS(tbl_rep_mon[net_sales],tbl_rep_mon[region_id],E$3,tbl_rep_mon[month_start],$B15)</f>
        <v>279773.28999999998</v>
      </c>
      <c r="F15" s="65">
        <f>SUMIFS(tbl_rep_mon[net_sales],tbl_rep_mon[region_id],F$3,tbl_rep_mon[month_start],$B15)</f>
        <v>372015.30000000005</v>
      </c>
      <c r="H15" s="62">
        <f t="shared" si="11"/>
        <v>44531</v>
      </c>
      <c r="I15" s="71">
        <f t="shared" si="0"/>
        <v>150000</v>
      </c>
      <c r="J15" s="64">
        <f t="shared" si="1"/>
        <v>275000</v>
      </c>
      <c r="K15" s="64">
        <f t="shared" si="2"/>
        <v>300000</v>
      </c>
      <c r="L15" s="65">
        <f t="shared" si="3"/>
        <v>400000</v>
      </c>
      <c r="N15" s="74">
        <f t="shared" si="12"/>
        <v>44531</v>
      </c>
      <c r="O15" s="79">
        <f t="shared" si="5"/>
        <v>0.75189513333333335</v>
      </c>
      <c r="P15" s="76">
        <f t="shared" si="6"/>
        <v>0.90238174545454541</v>
      </c>
      <c r="Q15" s="76">
        <f t="shared" si="7"/>
        <v>0.93257763333333321</v>
      </c>
      <c r="R15" s="80">
        <f t="shared" si="8"/>
        <v>0.93003825000000007</v>
      </c>
      <c r="S15" s="130">
        <f t="shared" si="9"/>
        <v>0.90020252444444449</v>
      </c>
    </row>
    <row r="16" spans="1:26" x14ac:dyDescent="0.4">
      <c r="A16">
        <f t="shared" si="4"/>
        <v>2022</v>
      </c>
      <c r="B16" s="62">
        <f t="shared" si="10"/>
        <v>44562</v>
      </c>
      <c r="C16" s="64">
        <f>SUMIFS(tbl_rep_mon[net_sales],tbl_rep_mon[region_id],C$3,tbl_rep_mon[month_start],$B16)</f>
        <v>120741.69</v>
      </c>
      <c r="D16" s="64">
        <f>SUMIFS(tbl_rep_mon[net_sales],tbl_rep_mon[region_id],D$3,tbl_rep_mon[month_start],$B16)</f>
        <v>288883.96000000002</v>
      </c>
      <c r="E16" s="64">
        <f>SUMIFS(tbl_rep_mon[net_sales],tbl_rep_mon[region_id],E$3,tbl_rep_mon[month_start],$B16)</f>
        <v>318940.40000000002</v>
      </c>
      <c r="F16" s="65">
        <f>SUMIFS(tbl_rep_mon[net_sales],tbl_rep_mon[region_id],F$3,tbl_rep_mon[month_start],$B16)</f>
        <v>390978.87</v>
      </c>
      <c r="H16" s="62">
        <f t="shared" si="11"/>
        <v>44562</v>
      </c>
      <c r="I16" s="71">
        <f t="shared" si="0"/>
        <v>158990.23699999999</v>
      </c>
      <c r="J16" s="64">
        <f t="shared" si="1"/>
        <v>280845.755</v>
      </c>
      <c r="K16" s="64">
        <f t="shared" si="2"/>
        <v>323855.91599999991</v>
      </c>
      <c r="L16" s="65">
        <f t="shared" si="3"/>
        <v>431360.54949999996</v>
      </c>
      <c r="N16" s="74">
        <f t="shared" si="12"/>
        <v>44562</v>
      </c>
      <c r="O16" s="79">
        <f t="shared" si="5"/>
        <v>0.75942832892311496</v>
      </c>
      <c r="P16" s="76">
        <f t="shared" si="6"/>
        <v>1.0286214224601686</v>
      </c>
      <c r="Q16" s="76">
        <f t="shared" si="7"/>
        <v>0.98482190456573326</v>
      </c>
      <c r="R16" s="80">
        <f t="shared" si="8"/>
        <v>0.90638532070953792</v>
      </c>
      <c r="S16" s="130">
        <f t="shared" si="9"/>
        <v>0.93681654974547435</v>
      </c>
    </row>
    <row r="17" spans="1:19" x14ac:dyDescent="0.4">
      <c r="A17">
        <f t="shared" si="4"/>
        <v>2022</v>
      </c>
      <c r="B17" s="62">
        <f t="shared" si="10"/>
        <v>44593</v>
      </c>
      <c r="C17" s="64">
        <f>SUMIFS(tbl_rep_mon[net_sales],tbl_rep_mon[region_id],C$3,tbl_rep_mon[month_start],$B17)</f>
        <v>177532.72999999998</v>
      </c>
      <c r="D17" s="64">
        <f>SUMIFS(tbl_rep_mon[net_sales],tbl_rep_mon[region_id],D$3,tbl_rep_mon[month_start],$B17)</f>
        <v>317238.62</v>
      </c>
      <c r="E17" s="64">
        <f>SUMIFS(tbl_rep_mon[net_sales],tbl_rep_mon[region_id],E$3,tbl_rep_mon[month_start],$B17)</f>
        <v>293343.48000000004</v>
      </c>
      <c r="F17" s="65">
        <f>SUMIFS(tbl_rep_mon[net_sales],tbl_rep_mon[region_id],F$3,tbl_rep_mon[month_start],$B17)</f>
        <v>430555.19999999995</v>
      </c>
      <c r="H17" s="62">
        <f t="shared" si="11"/>
        <v>44593</v>
      </c>
      <c r="I17" s="71">
        <f t="shared" si="0"/>
        <v>162660.09399999998</v>
      </c>
      <c r="J17" s="64">
        <f t="shared" si="1"/>
        <v>280978.23499999999</v>
      </c>
      <c r="K17" s="64">
        <f t="shared" si="2"/>
        <v>358644.32450000005</v>
      </c>
      <c r="L17" s="65">
        <f t="shared" si="3"/>
        <v>423306.47849999991</v>
      </c>
      <c r="N17" s="74">
        <f t="shared" si="12"/>
        <v>44593</v>
      </c>
      <c r="O17" s="79">
        <f t="shared" si="5"/>
        <v>1.0914338337957681</v>
      </c>
      <c r="P17" s="76">
        <f t="shared" si="6"/>
        <v>1.1290505116882097</v>
      </c>
      <c r="Q17" s="76">
        <f t="shared" si="7"/>
        <v>0.81792310643410171</v>
      </c>
      <c r="R17" s="80">
        <f t="shared" si="8"/>
        <v>1.017124050465011</v>
      </c>
      <c r="S17" s="130">
        <f t="shared" si="9"/>
        <v>0.99435446854141984</v>
      </c>
    </row>
    <row r="18" spans="1:19" x14ac:dyDescent="0.4">
      <c r="A18">
        <f t="shared" si="4"/>
        <v>2022</v>
      </c>
      <c r="B18" s="62">
        <f t="shared" si="10"/>
        <v>44621</v>
      </c>
      <c r="C18" s="64">
        <f>SUMIFS(tbl_rep_mon[net_sales],tbl_rep_mon[region_id],C$3,tbl_rep_mon[month_start],$B18)</f>
        <v>175172.74</v>
      </c>
      <c r="D18" s="64">
        <f>SUMIFS(tbl_rep_mon[net_sales],tbl_rep_mon[region_id],D$3,tbl_rep_mon[month_start],$B18)</f>
        <v>323813.52</v>
      </c>
      <c r="E18" s="64">
        <f>SUMIFS(tbl_rep_mon[net_sales],tbl_rep_mon[region_id],E$3,tbl_rep_mon[month_start],$B18)</f>
        <v>361143.55000000005</v>
      </c>
      <c r="F18" s="65">
        <f>SUMIFS(tbl_rep_mon[net_sales],tbl_rep_mon[region_id],F$3,tbl_rep_mon[month_start],$B18)</f>
        <v>326518.06</v>
      </c>
      <c r="H18" s="62">
        <f t="shared" si="11"/>
        <v>44621</v>
      </c>
      <c r="I18" s="71">
        <f t="shared" si="0"/>
        <v>169352.88699999999</v>
      </c>
      <c r="J18" s="64">
        <f t="shared" si="1"/>
        <v>288876.36599999998</v>
      </c>
      <c r="K18" s="64">
        <f t="shared" si="2"/>
        <v>376129.20049999998</v>
      </c>
      <c r="L18" s="65">
        <f t="shared" si="3"/>
        <v>444986.96849999996</v>
      </c>
      <c r="N18" s="74">
        <f t="shared" si="12"/>
        <v>44621</v>
      </c>
      <c r="O18" s="79">
        <f t="shared" si="5"/>
        <v>1.0343652423238583</v>
      </c>
      <c r="P18" s="76">
        <f t="shared" si="6"/>
        <v>1.1209415449376017</v>
      </c>
      <c r="Q18" s="76">
        <f t="shared" si="7"/>
        <v>0.96015823690349211</v>
      </c>
      <c r="R18" s="80">
        <f t="shared" si="8"/>
        <v>0.73376993735491836</v>
      </c>
      <c r="S18" s="130">
        <f t="shared" si="9"/>
        <v>0.92754298377440103</v>
      </c>
    </row>
    <row r="19" spans="1:19" x14ac:dyDescent="0.4">
      <c r="A19">
        <f t="shared" si="4"/>
        <v>2022</v>
      </c>
      <c r="B19" s="62">
        <f t="shared" si="10"/>
        <v>44652</v>
      </c>
      <c r="C19" s="64">
        <f>SUMIFS(tbl_rep_mon[net_sales],tbl_rep_mon[region_id],C$3,tbl_rep_mon[month_start],$B19)</f>
        <v>216558.09</v>
      </c>
      <c r="D19" s="64">
        <f>SUMIFS(tbl_rep_mon[net_sales],tbl_rep_mon[region_id],D$3,tbl_rep_mon[month_start],$B19)</f>
        <v>343776.80999999994</v>
      </c>
      <c r="E19" s="64">
        <f>SUMIFS(tbl_rep_mon[net_sales],tbl_rep_mon[region_id],E$3,tbl_rep_mon[month_start],$B19)</f>
        <v>278373.66000000003</v>
      </c>
      <c r="F19" s="65">
        <f>SUMIFS(tbl_rep_mon[net_sales],tbl_rep_mon[region_id],F$3,tbl_rep_mon[month_start],$B19)</f>
        <v>441888.56000000006</v>
      </c>
      <c r="H19" s="62">
        <f t="shared" si="11"/>
        <v>44652</v>
      </c>
      <c r="I19" s="71">
        <f t="shared" si="0"/>
        <v>148919.76749999999</v>
      </c>
      <c r="J19" s="64">
        <f t="shared" si="1"/>
        <v>279216.527</v>
      </c>
      <c r="K19" s="64">
        <f t="shared" si="2"/>
        <v>346251.17699999997</v>
      </c>
      <c r="L19" s="65">
        <f t="shared" si="3"/>
        <v>465638.55349999998</v>
      </c>
      <c r="N19" s="74">
        <f t="shared" si="12"/>
        <v>44652</v>
      </c>
      <c r="O19" s="79">
        <f t="shared" si="5"/>
        <v>1.4541930439154092</v>
      </c>
      <c r="P19" s="76">
        <f t="shared" si="6"/>
        <v>1.2312194184694516</v>
      </c>
      <c r="Q19" s="76">
        <f t="shared" si="7"/>
        <v>0.80396451619859777</v>
      </c>
      <c r="R19" s="80">
        <f t="shared" si="8"/>
        <v>0.94899478721965425</v>
      </c>
      <c r="S19" s="130">
        <f t="shared" si="9"/>
        <v>1.032717938319077</v>
      </c>
    </row>
    <row r="20" spans="1:19" x14ac:dyDescent="0.4">
      <c r="A20">
        <f t="shared" si="4"/>
        <v>2022</v>
      </c>
      <c r="B20" s="62">
        <f t="shared" si="10"/>
        <v>44682</v>
      </c>
      <c r="C20" s="64">
        <f>SUMIFS(tbl_rep_mon[net_sales],tbl_rep_mon[region_id],C$3,tbl_rep_mon[month_start],$B20)</f>
        <v>182602.82</v>
      </c>
      <c r="D20" s="64">
        <f>SUMIFS(tbl_rep_mon[net_sales],tbl_rep_mon[region_id],D$3,tbl_rep_mon[month_start],$B20)</f>
        <v>329832.92</v>
      </c>
      <c r="E20" s="64">
        <f>SUMIFS(tbl_rep_mon[net_sales],tbl_rep_mon[region_id],E$3,tbl_rep_mon[month_start],$B20)</f>
        <v>323136.66000000003</v>
      </c>
      <c r="F20" s="65">
        <f>SUMIFS(tbl_rep_mon[net_sales],tbl_rep_mon[region_id],F$3,tbl_rep_mon[month_start],$B20)</f>
        <v>439281.64</v>
      </c>
      <c r="H20" s="62">
        <f t="shared" si="11"/>
        <v>44682</v>
      </c>
      <c r="I20" s="71">
        <f t="shared" si="0"/>
        <v>191772.99949999998</v>
      </c>
      <c r="J20" s="64">
        <f t="shared" si="1"/>
        <v>263996.24249999999</v>
      </c>
      <c r="K20" s="64">
        <f t="shared" si="2"/>
        <v>395081.29249999998</v>
      </c>
      <c r="L20" s="65">
        <f t="shared" si="3"/>
        <v>484308.15950000001</v>
      </c>
      <c r="N20" s="74">
        <f t="shared" si="12"/>
        <v>44682</v>
      </c>
      <c r="O20" s="79">
        <f t="shared" si="5"/>
        <v>0.95218211362439487</v>
      </c>
      <c r="P20" s="76">
        <f t="shared" si="6"/>
        <v>1.2493849036506646</v>
      </c>
      <c r="Q20" s="76">
        <f t="shared" si="7"/>
        <v>0.81789916691638864</v>
      </c>
      <c r="R20" s="80">
        <f t="shared" si="8"/>
        <v>0.90702919491076628</v>
      </c>
      <c r="S20" s="130">
        <f t="shared" si="9"/>
        <v>0.95483334357855754</v>
      </c>
    </row>
    <row r="21" spans="1:19" x14ac:dyDescent="0.4">
      <c r="A21">
        <f t="shared" si="4"/>
        <v>2022</v>
      </c>
      <c r="B21" s="62">
        <f t="shared" si="10"/>
        <v>44713</v>
      </c>
      <c r="C21" s="64">
        <f>SUMIFS(tbl_rep_mon[net_sales],tbl_rep_mon[region_id],C$3,tbl_rep_mon[month_start],$B21)</f>
        <v>211258.44</v>
      </c>
      <c r="D21" s="64">
        <f>SUMIFS(tbl_rep_mon[net_sales],tbl_rep_mon[region_id],D$3,tbl_rep_mon[month_start],$B21)</f>
        <v>329005.65000000002</v>
      </c>
      <c r="E21" s="64">
        <f>SUMIFS(tbl_rep_mon[net_sales],tbl_rep_mon[region_id],E$3,tbl_rep_mon[month_start],$B21)</f>
        <v>322972.5</v>
      </c>
      <c r="F21" s="65">
        <f>SUMIFS(tbl_rep_mon[net_sales],tbl_rep_mon[region_id],F$3,tbl_rep_mon[month_start],$B21)</f>
        <v>432057.74000000005</v>
      </c>
      <c r="H21" s="62">
        <f t="shared" si="11"/>
        <v>44713</v>
      </c>
      <c r="I21" s="71">
        <f t="shared" si="0"/>
        <v>187025.55799999996</v>
      </c>
      <c r="J21" s="64">
        <f t="shared" si="1"/>
        <v>325308.23949999997</v>
      </c>
      <c r="K21" s="64">
        <f t="shared" si="2"/>
        <v>356049.59099999996</v>
      </c>
      <c r="L21" s="65">
        <f t="shared" si="3"/>
        <v>539205.90499999991</v>
      </c>
      <c r="N21" s="74">
        <f t="shared" si="12"/>
        <v>44713</v>
      </c>
      <c r="O21" s="79">
        <f t="shared" si="5"/>
        <v>1.1295698954685116</v>
      </c>
      <c r="P21" s="76">
        <f t="shared" si="6"/>
        <v>1.0113658679708912</v>
      </c>
      <c r="Q21" s="76">
        <f t="shared" si="7"/>
        <v>0.90709976408876158</v>
      </c>
      <c r="R21" s="80">
        <f t="shared" si="8"/>
        <v>0.80128525298698294</v>
      </c>
      <c r="S21" s="130">
        <f t="shared" si="9"/>
        <v>0.92022178342890359</v>
      </c>
    </row>
    <row r="22" spans="1:19" x14ac:dyDescent="0.4">
      <c r="A22">
        <f t="shared" si="4"/>
        <v>2022</v>
      </c>
      <c r="B22" s="62">
        <f t="shared" si="10"/>
        <v>44743</v>
      </c>
      <c r="C22" s="64">
        <f>SUMIFS(tbl_rep_mon[net_sales],tbl_rep_mon[region_id],C$3,tbl_rep_mon[month_start],$B22)</f>
        <v>189098.64</v>
      </c>
      <c r="D22" s="64">
        <f>SUMIFS(tbl_rep_mon[net_sales],tbl_rep_mon[region_id],D$3,tbl_rep_mon[month_start],$B22)</f>
        <v>319508.86</v>
      </c>
      <c r="E22" s="64">
        <f>SUMIFS(tbl_rep_mon[net_sales],tbl_rep_mon[region_id],E$3,tbl_rep_mon[month_start],$B22)</f>
        <v>331132.53999999998</v>
      </c>
      <c r="F22" s="65">
        <f>SUMIFS(tbl_rep_mon[net_sales],tbl_rep_mon[region_id],F$3,tbl_rep_mon[month_start],$B22)</f>
        <v>458404.33000000007</v>
      </c>
      <c r="H22" s="62">
        <f t="shared" si="11"/>
        <v>44743</v>
      </c>
      <c r="I22" s="71">
        <f t="shared" si="0"/>
        <v>135725.29999999999</v>
      </c>
      <c r="J22" s="64">
        <f t="shared" si="1"/>
        <v>353194.47449999995</v>
      </c>
      <c r="K22" s="64">
        <f t="shared" si="2"/>
        <v>381445.17899999995</v>
      </c>
      <c r="L22" s="65">
        <f t="shared" si="3"/>
        <v>487529.05649999995</v>
      </c>
      <c r="N22" s="74">
        <f t="shared" si="12"/>
        <v>44743</v>
      </c>
      <c r="O22" s="79">
        <f t="shared" si="5"/>
        <v>1.3932453271423975</v>
      </c>
      <c r="P22" s="76">
        <f t="shared" si="6"/>
        <v>0.90462587347186829</v>
      </c>
      <c r="Q22" s="76">
        <f t="shared" si="7"/>
        <v>0.86809994785646516</v>
      </c>
      <c r="R22" s="80">
        <f t="shared" si="8"/>
        <v>0.94026053193816173</v>
      </c>
      <c r="S22" s="130">
        <f t="shared" si="9"/>
        <v>0.95599830357893711</v>
      </c>
    </row>
    <row r="23" spans="1:19" x14ac:dyDescent="0.4">
      <c r="A23">
        <f t="shared" si="4"/>
        <v>2022</v>
      </c>
      <c r="B23" s="62">
        <f t="shared" si="10"/>
        <v>44774</v>
      </c>
      <c r="C23" s="64">
        <f>SUMIFS(tbl_rep_mon[net_sales],tbl_rep_mon[region_id],C$3,tbl_rep_mon[month_start],$B23)</f>
        <v>171330.8</v>
      </c>
      <c r="D23" s="64">
        <f>SUMIFS(tbl_rep_mon[net_sales],tbl_rep_mon[region_id],D$3,tbl_rep_mon[month_start],$B23)</f>
        <v>261583.64</v>
      </c>
      <c r="E23" s="64">
        <f>SUMIFS(tbl_rep_mon[net_sales],tbl_rep_mon[region_id],E$3,tbl_rep_mon[month_start],$B23)</f>
        <v>324807.88</v>
      </c>
      <c r="F23" s="65">
        <f>SUMIFS(tbl_rep_mon[net_sales],tbl_rep_mon[region_id],F$3,tbl_rep_mon[month_start],$B23)</f>
        <v>416574.85000000009</v>
      </c>
      <c r="H23" s="62">
        <f t="shared" si="11"/>
        <v>44774</v>
      </c>
      <c r="I23" s="71">
        <f t="shared" si="0"/>
        <v>154455.3615</v>
      </c>
      <c r="J23" s="64">
        <f t="shared" si="1"/>
        <v>320603.76199999999</v>
      </c>
      <c r="K23" s="64">
        <f t="shared" si="2"/>
        <v>364305.68249999994</v>
      </c>
      <c r="L23" s="65">
        <f t="shared" si="3"/>
        <v>431640.26399999997</v>
      </c>
      <c r="N23" s="74">
        <f t="shared" si="12"/>
        <v>44774</v>
      </c>
      <c r="O23" s="79">
        <f t="shared" si="5"/>
        <v>1.1092577061496178</v>
      </c>
      <c r="P23" s="76">
        <f t="shared" si="6"/>
        <v>0.81590945274060767</v>
      </c>
      <c r="Q23" s="76">
        <f t="shared" si="7"/>
        <v>0.89158060278129225</v>
      </c>
      <c r="R23" s="80">
        <f t="shared" si="8"/>
        <v>0.96509729222109852</v>
      </c>
      <c r="S23" s="130">
        <f t="shared" si="9"/>
        <v>0.92391226260018011</v>
      </c>
    </row>
    <row r="24" spans="1:19" x14ac:dyDescent="0.4">
      <c r="A24">
        <f t="shared" si="4"/>
        <v>2022</v>
      </c>
      <c r="B24" s="62">
        <f t="shared" si="10"/>
        <v>44805</v>
      </c>
      <c r="C24" s="64">
        <f>SUMIFS(tbl_rep_mon[net_sales],tbl_rep_mon[region_id],C$3,tbl_rep_mon[month_start],$B24)</f>
        <v>188629.32</v>
      </c>
      <c r="D24" s="64">
        <f>SUMIFS(tbl_rep_mon[net_sales],tbl_rep_mon[region_id],D$3,tbl_rep_mon[month_start],$B24)</f>
        <v>303361.04000000004</v>
      </c>
      <c r="E24" s="64">
        <f>SUMIFS(tbl_rep_mon[net_sales],tbl_rep_mon[region_id],E$3,tbl_rep_mon[month_start],$B24)</f>
        <v>328416.64999999997</v>
      </c>
      <c r="F24" s="65">
        <f>SUMIFS(tbl_rep_mon[net_sales],tbl_rep_mon[region_id],F$3,tbl_rep_mon[month_start],$B24)</f>
        <v>442575.13</v>
      </c>
      <c r="H24" s="62">
        <f t="shared" si="11"/>
        <v>44805</v>
      </c>
      <c r="I24" s="71">
        <f t="shared" si="0"/>
        <v>153019.52900000001</v>
      </c>
      <c r="J24" s="64">
        <f t="shared" si="1"/>
        <v>344815.88500000001</v>
      </c>
      <c r="K24" s="64">
        <f t="shared" si="2"/>
        <v>364691.36950000003</v>
      </c>
      <c r="L24" s="65">
        <f t="shared" si="3"/>
        <v>444298.71649999992</v>
      </c>
      <c r="N24" s="74">
        <f t="shared" si="12"/>
        <v>44805</v>
      </c>
      <c r="O24" s="79">
        <f t="shared" si="5"/>
        <v>1.2327140282858928</v>
      </c>
      <c r="P24" s="76">
        <f t="shared" si="6"/>
        <v>0.87977686990841508</v>
      </c>
      <c r="Q24" s="76">
        <f t="shared" si="7"/>
        <v>0.90053310131870268</v>
      </c>
      <c r="R24" s="80">
        <f t="shared" si="8"/>
        <v>0.9961206583859219</v>
      </c>
      <c r="S24" s="130">
        <f t="shared" si="9"/>
        <v>0.96645048631205932</v>
      </c>
    </row>
    <row r="25" spans="1:19" x14ac:dyDescent="0.4">
      <c r="A25">
        <f t="shared" si="4"/>
        <v>2022</v>
      </c>
      <c r="B25" s="62">
        <f t="shared" si="10"/>
        <v>44835</v>
      </c>
      <c r="C25" s="64">
        <f>SUMIFS(tbl_rep_mon[net_sales],tbl_rep_mon[region_id],C$3,tbl_rep_mon[month_start],$B25)</f>
        <v>188053.86</v>
      </c>
      <c r="D25" s="64">
        <f>SUMIFS(tbl_rep_mon[net_sales],tbl_rep_mon[region_id],D$3,tbl_rep_mon[month_start],$B25)</f>
        <v>291697.14999999997</v>
      </c>
      <c r="E25" s="64">
        <f>SUMIFS(tbl_rep_mon[net_sales],tbl_rep_mon[region_id],E$3,tbl_rep_mon[month_start],$B25)</f>
        <v>289344.25</v>
      </c>
      <c r="F25" s="65">
        <f>SUMIFS(tbl_rep_mon[net_sales],tbl_rep_mon[region_id],F$3,tbl_rep_mon[month_start],$B25)</f>
        <v>446006.97000000003</v>
      </c>
      <c r="H25" s="62">
        <f t="shared" si="11"/>
        <v>44835</v>
      </c>
      <c r="I25" s="71">
        <f t="shared" si="0"/>
        <v>163018.45699999997</v>
      </c>
      <c r="J25" s="64">
        <f t="shared" si="1"/>
        <v>292306.87349999999</v>
      </c>
      <c r="K25" s="64">
        <f t="shared" si="2"/>
        <v>329837.6985</v>
      </c>
      <c r="L25" s="65">
        <f t="shared" si="3"/>
        <v>422370.8615</v>
      </c>
      <c r="N25" s="74">
        <f t="shared" si="12"/>
        <v>44835</v>
      </c>
      <c r="O25" s="79">
        <f t="shared" si="5"/>
        <v>1.153574039778821</v>
      </c>
      <c r="P25" s="76">
        <f t="shared" si="6"/>
        <v>0.99791409797279362</v>
      </c>
      <c r="Q25" s="76">
        <f t="shared" si="7"/>
        <v>0.87723220030896498</v>
      </c>
      <c r="R25" s="80">
        <f t="shared" si="8"/>
        <v>1.0559605565972501</v>
      </c>
      <c r="S25" s="130">
        <f t="shared" si="9"/>
        <v>1.006267600072795</v>
      </c>
    </row>
    <row r="26" spans="1:19" x14ac:dyDescent="0.4">
      <c r="A26">
        <f t="shared" si="4"/>
        <v>2022</v>
      </c>
      <c r="B26" s="62">
        <f t="shared" si="10"/>
        <v>44866</v>
      </c>
      <c r="C26" s="64">
        <f>SUMIFS(tbl_rep_mon[net_sales],tbl_rep_mon[region_id],C$3,tbl_rep_mon[month_start],$B26)</f>
        <v>176019.5</v>
      </c>
      <c r="D26" s="64">
        <f>SUMIFS(tbl_rep_mon[net_sales],tbl_rep_mon[region_id],D$3,tbl_rep_mon[month_start],$B26)</f>
        <v>291499.57</v>
      </c>
      <c r="E26" s="64">
        <f>SUMIFS(tbl_rep_mon[net_sales],tbl_rep_mon[region_id],E$3,tbl_rep_mon[month_start],$B26)</f>
        <v>288584.76</v>
      </c>
      <c r="F26" s="65">
        <f>SUMIFS(tbl_rep_mon[net_sales],tbl_rep_mon[region_id],F$3,tbl_rep_mon[month_start],$B26)</f>
        <v>427525.84</v>
      </c>
      <c r="H26" s="62">
        <f t="shared" si="11"/>
        <v>44866</v>
      </c>
      <c r="I26" s="71">
        <f t="shared" si="0"/>
        <v>137759.65</v>
      </c>
      <c r="J26" s="64">
        <f t="shared" si="1"/>
        <v>240422.36949999997</v>
      </c>
      <c r="K26" s="64">
        <f t="shared" si="2"/>
        <v>318559.05049999995</v>
      </c>
      <c r="L26" s="65">
        <f t="shared" si="3"/>
        <v>424458.91650000005</v>
      </c>
      <c r="N26" s="74">
        <f t="shared" si="12"/>
        <v>44866</v>
      </c>
      <c r="O26" s="79">
        <f t="shared" si="5"/>
        <v>1.2777290011988272</v>
      </c>
      <c r="P26" s="76">
        <f t="shared" si="6"/>
        <v>1.2124477876423227</v>
      </c>
      <c r="Q26" s="76">
        <f t="shared" si="7"/>
        <v>0.90590664288786249</v>
      </c>
      <c r="R26" s="80">
        <f t="shared" si="8"/>
        <v>1.007225489631103</v>
      </c>
      <c r="S26" s="130">
        <f t="shared" si="9"/>
        <v>1.0556811311556329</v>
      </c>
    </row>
    <row r="27" spans="1:19" x14ac:dyDescent="0.4">
      <c r="A27">
        <f t="shared" si="4"/>
        <v>2022</v>
      </c>
      <c r="B27" s="62">
        <f t="shared" si="10"/>
        <v>44896</v>
      </c>
      <c r="C27" s="64">
        <f>SUMIFS(tbl_rep_mon[net_sales],tbl_rep_mon[region_id],C$3,tbl_rep_mon[month_start],$B27)</f>
        <v>184272.64000000001</v>
      </c>
      <c r="D27" s="64">
        <f>SUMIFS(tbl_rep_mon[net_sales],tbl_rep_mon[region_id],D$3,tbl_rep_mon[month_start],$B27)</f>
        <v>281887.11</v>
      </c>
      <c r="E27" s="64">
        <f>SUMIFS(tbl_rep_mon[net_sales],tbl_rep_mon[region_id],E$3,tbl_rep_mon[month_start],$B27)</f>
        <v>309868.03999999998</v>
      </c>
      <c r="F27" s="65">
        <f>SUMIFS(tbl_rep_mon[net_sales],tbl_rep_mon[region_id],F$3,tbl_rep_mon[month_start],$B27)</f>
        <v>421978.45999999996</v>
      </c>
      <c r="H27" s="62">
        <f t="shared" si="11"/>
        <v>44896</v>
      </c>
      <c r="I27" s="71">
        <f t="shared" si="0"/>
        <v>129701.9105</v>
      </c>
      <c r="J27" s="64">
        <f t="shared" si="1"/>
        <v>285378.22699999996</v>
      </c>
      <c r="K27" s="64">
        <f t="shared" si="2"/>
        <v>321739.28349999996</v>
      </c>
      <c r="L27" s="65">
        <f t="shared" si="3"/>
        <v>427817.59500000003</v>
      </c>
      <c r="N27" s="74">
        <f t="shared" si="12"/>
        <v>44896</v>
      </c>
      <c r="O27" s="79">
        <f t="shared" si="5"/>
        <v>1.4207395965844314</v>
      </c>
      <c r="P27" s="76">
        <f t="shared" si="6"/>
        <v>0.98776670162717084</v>
      </c>
      <c r="Q27" s="76">
        <f t="shared" si="7"/>
        <v>0.96310290937786591</v>
      </c>
      <c r="R27" s="80">
        <f t="shared" si="8"/>
        <v>0.98635134443219885</v>
      </c>
      <c r="S27" s="130">
        <f t="shared" si="9"/>
        <v>1.0286520465531899</v>
      </c>
    </row>
    <row r="28" spans="1:19" x14ac:dyDescent="0.4">
      <c r="A28">
        <f t="shared" si="4"/>
        <v>2023</v>
      </c>
      <c r="B28" s="62">
        <f t="shared" si="10"/>
        <v>44927</v>
      </c>
      <c r="C28" s="64">
        <f>SUMIFS(tbl_rep_mon[net_sales],tbl_rep_mon[region_id],C$3,tbl_rep_mon[month_start],$B28)</f>
        <v>202963.37</v>
      </c>
      <c r="D28" s="64">
        <f>SUMIFS(tbl_rep_mon[net_sales],tbl_rep_mon[region_id],D$3,tbl_rep_mon[month_start],$B28)</f>
        <v>354423.63</v>
      </c>
      <c r="E28" s="64">
        <f>SUMIFS(tbl_rep_mon[net_sales],tbl_rep_mon[region_id],E$3,tbl_rep_mon[month_start],$B28)</f>
        <v>338874.85</v>
      </c>
      <c r="F28" s="65">
        <f>SUMIFS(tbl_rep_mon[net_sales],tbl_rep_mon[region_id],F$3,tbl_rep_mon[month_start],$B28)</f>
        <v>476068.18</v>
      </c>
      <c r="H28" s="62">
        <f t="shared" si="11"/>
        <v>44927</v>
      </c>
      <c r="I28" s="71">
        <f t="shared" si="0"/>
        <v>138852.94349999999</v>
      </c>
      <c r="J28" s="64">
        <f t="shared" si="1"/>
        <v>332216.554</v>
      </c>
      <c r="K28" s="64">
        <f t="shared" si="2"/>
        <v>366781.46</v>
      </c>
      <c r="L28" s="65">
        <f t="shared" si="3"/>
        <v>449625.70049999998</v>
      </c>
      <c r="N28" s="74">
        <f t="shared" si="12"/>
        <v>44927</v>
      </c>
      <c r="O28" s="79">
        <f t="shared" si="5"/>
        <v>1.4617145656692543</v>
      </c>
      <c r="P28" s="76">
        <f t="shared" si="6"/>
        <v>1.0668451819532148</v>
      </c>
      <c r="Q28" s="76">
        <f t="shared" si="7"/>
        <v>0.92391488381119358</v>
      </c>
      <c r="R28" s="80">
        <f t="shared" si="8"/>
        <v>1.0588099823266219</v>
      </c>
      <c r="S28" s="130">
        <f t="shared" si="9"/>
        <v>1.0659067265202411</v>
      </c>
    </row>
    <row r="29" spans="1:19" x14ac:dyDescent="0.4">
      <c r="A29">
        <f t="shared" si="4"/>
        <v>2023</v>
      </c>
      <c r="B29" s="62">
        <f t="shared" si="10"/>
        <v>44958</v>
      </c>
      <c r="C29" s="64">
        <f>SUMIFS(tbl_rep_mon[net_sales],tbl_rep_mon[region_id],C$3,tbl_rep_mon[month_start],$B29)</f>
        <v>191458.66999999998</v>
      </c>
      <c r="D29" s="64">
        <f>SUMIFS(tbl_rep_mon[net_sales],tbl_rep_mon[region_id],D$3,tbl_rep_mon[month_start],$B29)</f>
        <v>338450.52999999997</v>
      </c>
      <c r="E29" s="64">
        <f>SUMIFS(tbl_rep_mon[net_sales],tbl_rep_mon[region_id],E$3,tbl_rep_mon[month_start],$B29)</f>
        <v>353344.95</v>
      </c>
      <c r="F29" s="65">
        <f>SUMIFS(tbl_rep_mon[net_sales],tbl_rep_mon[region_id],F$3,tbl_rep_mon[month_start],$B29)</f>
        <v>470724.75</v>
      </c>
      <c r="H29" s="62">
        <f t="shared" si="11"/>
        <v>44958</v>
      </c>
      <c r="I29" s="71">
        <f t="shared" si="0"/>
        <v>204162.63949999996</v>
      </c>
      <c r="J29" s="64">
        <f t="shared" si="1"/>
        <v>364824.41299999994</v>
      </c>
      <c r="K29" s="64">
        <f t="shared" si="2"/>
        <v>337345.00200000004</v>
      </c>
      <c r="L29" s="65">
        <f t="shared" si="3"/>
        <v>495138.47999999992</v>
      </c>
      <c r="N29" s="74">
        <f t="shared" si="12"/>
        <v>44958</v>
      </c>
      <c r="O29" s="79">
        <f t="shared" si="5"/>
        <v>0.93777524854149441</v>
      </c>
      <c r="P29" s="76">
        <f t="shared" si="6"/>
        <v>0.92770800949661236</v>
      </c>
      <c r="Q29" s="76">
        <f t="shared" si="7"/>
        <v>1.0474290352758804</v>
      </c>
      <c r="R29" s="80">
        <f t="shared" si="8"/>
        <v>0.95069312730450695</v>
      </c>
      <c r="S29" s="130">
        <f t="shared" si="9"/>
        <v>0.96611299821801577</v>
      </c>
    </row>
    <row r="30" spans="1:19" x14ac:dyDescent="0.4">
      <c r="A30">
        <f t="shared" si="4"/>
        <v>2023</v>
      </c>
      <c r="B30" s="62">
        <f t="shared" si="10"/>
        <v>44986</v>
      </c>
      <c r="C30" s="64">
        <f>SUMIFS(tbl_rep_mon[net_sales],tbl_rep_mon[region_id],C$3,tbl_rep_mon[month_start],$B30)</f>
        <v>256072.92</v>
      </c>
      <c r="D30" s="64">
        <f>SUMIFS(tbl_rep_mon[net_sales],tbl_rep_mon[region_id],D$3,tbl_rep_mon[month_start],$B30)</f>
        <v>365925.52</v>
      </c>
      <c r="E30" s="64">
        <f>SUMIFS(tbl_rep_mon[net_sales],tbl_rep_mon[region_id],E$3,tbl_rep_mon[month_start],$B30)</f>
        <v>346046.08</v>
      </c>
      <c r="F30" s="65">
        <f>SUMIFS(tbl_rep_mon[net_sales],tbl_rep_mon[region_id],F$3,tbl_rep_mon[month_start],$B30)</f>
        <v>499917.70999999996</v>
      </c>
      <c r="H30" s="62">
        <f t="shared" si="11"/>
        <v>44986</v>
      </c>
      <c r="I30" s="71">
        <f t="shared" si="0"/>
        <v>201448.65099999998</v>
      </c>
      <c r="J30" s="64">
        <f t="shared" si="1"/>
        <v>372385.54800000001</v>
      </c>
      <c r="K30" s="64">
        <f t="shared" si="2"/>
        <v>415315.08250000002</v>
      </c>
      <c r="L30" s="65">
        <f t="shared" si="3"/>
        <v>375495.76899999997</v>
      </c>
      <c r="N30" s="74">
        <f t="shared" si="12"/>
        <v>44986</v>
      </c>
      <c r="O30" s="79">
        <f t="shared" si="5"/>
        <v>1.27115728364942</v>
      </c>
      <c r="P30" s="76">
        <f t="shared" si="6"/>
        <v>0.98265231281209664</v>
      </c>
      <c r="Q30" s="76">
        <f t="shared" si="7"/>
        <v>0.83321337119992511</v>
      </c>
      <c r="R30" s="80">
        <f t="shared" si="8"/>
        <v>1.3313537761859575</v>
      </c>
      <c r="S30" s="130">
        <f t="shared" si="9"/>
        <v>1.0757099287189333</v>
      </c>
    </row>
    <row r="31" spans="1:19" x14ac:dyDescent="0.4">
      <c r="A31">
        <f t="shared" si="4"/>
        <v>2023</v>
      </c>
      <c r="B31" s="62">
        <f t="shared" si="10"/>
        <v>45017</v>
      </c>
      <c r="C31" s="64">
        <f>SUMIFS(tbl_rep_mon[net_sales],tbl_rep_mon[region_id],C$3,tbl_rep_mon[month_start],$B31)</f>
        <v>204212.77000000002</v>
      </c>
      <c r="D31" s="64">
        <f>SUMIFS(tbl_rep_mon[net_sales],tbl_rep_mon[region_id],D$3,tbl_rep_mon[month_start],$B31)</f>
        <v>292696.92</v>
      </c>
      <c r="E31" s="64">
        <f>SUMIFS(tbl_rep_mon[net_sales],tbl_rep_mon[region_id],E$3,tbl_rep_mon[month_start],$B31)</f>
        <v>398597.75</v>
      </c>
      <c r="F31" s="65">
        <f>SUMIFS(tbl_rep_mon[net_sales],tbl_rep_mon[region_id],F$3,tbl_rep_mon[month_start],$B31)</f>
        <v>491575.12</v>
      </c>
      <c r="H31" s="62">
        <f t="shared" si="11"/>
        <v>45017</v>
      </c>
      <c r="I31" s="71">
        <f t="shared" si="0"/>
        <v>249041.80349999998</v>
      </c>
      <c r="J31" s="64">
        <f t="shared" si="1"/>
        <v>395343.33149999991</v>
      </c>
      <c r="K31" s="64">
        <f t="shared" si="2"/>
        <v>320129.70900000003</v>
      </c>
      <c r="L31" s="65">
        <f t="shared" si="3"/>
        <v>508171.84400000004</v>
      </c>
      <c r="N31" s="74">
        <f t="shared" si="12"/>
        <v>45017</v>
      </c>
      <c r="O31" s="79">
        <f t="shared" si="5"/>
        <v>0.81999394129829306</v>
      </c>
      <c r="P31" s="76">
        <f t="shared" si="6"/>
        <v>0.74036134336567161</v>
      </c>
      <c r="Q31" s="76">
        <f t="shared" si="7"/>
        <v>1.2451132737574193</v>
      </c>
      <c r="R31" s="80">
        <f t="shared" si="8"/>
        <v>0.9673403314332385</v>
      </c>
      <c r="S31" s="130">
        <f t="shared" si="9"/>
        <v>0.94187213838657313</v>
      </c>
    </row>
    <row r="32" spans="1:19" x14ac:dyDescent="0.4">
      <c r="A32">
        <f t="shared" si="4"/>
        <v>2023</v>
      </c>
      <c r="B32" s="62">
        <f t="shared" si="10"/>
        <v>45047</v>
      </c>
      <c r="C32" s="64">
        <f>SUMIFS(tbl_rep_mon[net_sales],tbl_rep_mon[region_id],C$3,tbl_rep_mon[month_start],$B32)</f>
        <v>197673.39</v>
      </c>
      <c r="D32" s="64">
        <f>SUMIFS(tbl_rep_mon[net_sales],tbl_rep_mon[region_id],D$3,tbl_rep_mon[month_start],$B32)</f>
        <v>343494.57</v>
      </c>
      <c r="E32" s="64">
        <f>SUMIFS(tbl_rep_mon[net_sales],tbl_rep_mon[region_id],E$3,tbl_rep_mon[month_start],$B32)</f>
        <v>421221.62</v>
      </c>
      <c r="F32" s="65">
        <f>SUMIFS(tbl_rep_mon[net_sales],tbl_rep_mon[region_id],F$3,tbl_rep_mon[month_start],$B32)</f>
        <v>473588.13999999996</v>
      </c>
      <c r="H32" s="62">
        <f t="shared" si="11"/>
        <v>45047</v>
      </c>
      <c r="I32" s="71">
        <f t="shared" si="0"/>
        <v>209993.24299999999</v>
      </c>
      <c r="J32" s="64">
        <f t="shared" si="1"/>
        <v>379307.85799999995</v>
      </c>
      <c r="K32" s="64">
        <f t="shared" si="2"/>
        <v>371607.15899999999</v>
      </c>
      <c r="L32" s="65">
        <f t="shared" si="3"/>
        <v>505173.886</v>
      </c>
      <c r="N32" s="74">
        <f t="shared" si="12"/>
        <v>45047</v>
      </c>
      <c r="O32" s="79">
        <f t="shared" si="5"/>
        <v>0.94133214562527623</v>
      </c>
      <c r="P32" s="76">
        <f t="shared" si="6"/>
        <v>0.9055825308000871</v>
      </c>
      <c r="Q32" s="76">
        <f t="shared" si="7"/>
        <v>1.1335132001587731</v>
      </c>
      <c r="R32" s="80">
        <f t="shared" si="8"/>
        <v>0.93747549729836976</v>
      </c>
      <c r="S32" s="130">
        <f t="shared" si="9"/>
        <v>0.97946607147346032</v>
      </c>
    </row>
    <row r="33" spans="1:19" x14ac:dyDescent="0.4">
      <c r="A33">
        <f t="shared" si="4"/>
        <v>2023</v>
      </c>
      <c r="B33" s="62">
        <f t="shared" si="10"/>
        <v>45078</v>
      </c>
      <c r="C33" s="64">
        <f>SUMIFS(tbl_rep_mon[net_sales],tbl_rep_mon[region_id],C$3,tbl_rep_mon[month_start],$B33)</f>
        <v>227665.59999999998</v>
      </c>
      <c r="D33" s="64">
        <f>SUMIFS(tbl_rep_mon[net_sales],tbl_rep_mon[region_id],D$3,tbl_rep_mon[month_start],$B33)</f>
        <v>399303.04000000004</v>
      </c>
      <c r="E33" s="64">
        <f>SUMIFS(tbl_rep_mon[net_sales],tbl_rep_mon[region_id],E$3,tbl_rep_mon[month_start],$B33)</f>
        <v>373586.02000000008</v>
      </c>
      <c r="F33" s="65">
        <f>SUMIFS(tbl_rep_mon[net_sales],tbl_rep_mon[region_id],F$3,tbl_rep_mon[month_start],$B33)</f>
        <v>521866.51</v>
      </c>
      <c r="H33" s="62">
        <f t="shared" si="11"/>
        <v>45078</v>
      </c>
      <c r="I33" s="71">
        <f t="shared" si="0"/>
        <v>242947.20599999998</v>
      </c>
      <c r="J33" s="64">
        <f t="shared" si="1"/>
        <v>378356.4975</v>
      </c>
      <c r="K33" s="64">
        <f t="shared" si="2"/>
        <v>371418.375</v>
      </c>
      <c r="L33" s="65">
        <f t="shared" si="3"/>
        <v>496866.40100000001</v>
      </c>
      <c r="N33" s="74">
        <f t="shared" si="12"/>
        <v>45078</v>
      </c>
      <c r="O33" s="79">
        <f t="shared" si="5"/>
        <v>0.93709906670011256</v>
      </c>
      <c r="P33" s="76">
        <f t="shared" si="6"/>
        <v>1.0553619209354268</v>
      </c>
      <c r="Q33" s="76">
        <f t="shared" si="7"/>
        <v>1.0058361275206162</v>
      </c>
      <c r="R33" s="80">
        <f t="shared" si="8"/>
        <v>1.0503155555491062</v>
      </c>
      <c r="S33" s="130">
        <f t="shared" si="9"/>
        <v>1.0220414503413862</v>
      </c>
    </row>
    <row r="34" spans="1:19" x14ac:dyDescent="0.4">
      <c r="A34">
        <f t="shared" si="4"/>
        <v>2023</v>
      </c>
      <c r="B34" s="62">
        <f t="shared" si="10"/>
        <v>45108</v>
      </c>
      <c r="C34" s="64">
        <f>SUMIFS(tbl_rep_mon[net_sales],tbl_rep_mon[region_id],C$3,tbl_rep_mon[month_start],$B34)</f>
        <v>201242.63</v>
      </c>
      <c r="D34" s="64">
        <f>SUMIFS(tbl_rep_mon[net_sales],tbl_rep_mon[region_id],D$3,tbl_rep_mon[month_start],$B34)</f>
        <v>337082.77</v>
      </c>
      <c r="E34" s="64">
        <f>SUMIFS(tbl_rep_mon[net_sales],tbl_rep_mon[region_id],E$3,tbl_rep_mon[month_start],$B34)</f>
        <v>309433.61</v>
      </c>
      <c r="F34" s="65">
        <f>SUMIFS(tbl_rep_mon[net_sales],tbl_rep_mon[region_id],F$3,tbl_rep_mon[month_start],$B34)</f>
        <v>545301.76000000001</v>
      </c>
      <c r="H34" s="62">
        <f t="shared" si="11"/>
        <v>45108</v>
      </c>
      <c r="I34" s="71">
        <f t="shared" si="0"/>
        <v>217463.43599999999</v>
      </c>
      <c r="J34" s="64">
        <f t="shared" si="1"/>
        <v>367435.18899999995</v>
      </c>
      <c r="K34" s="64">
        <f t="shared" si="2"/>
        <v>380802.42099999997</v>
      </c>
      <c r="L34" s="65">
        <f t="shared" si="3"/>
        <v>527164.97950000002</v>
      </c>
      <c r="N34" s="74">
        <f t="shared" si="12"/>
        <v>45108</v>
      </c>
      <c r="O34" s="79">
        <f t="shared" si="5"/>
        <v>0.92540904209754149</v>
      </c>
      <c r="P34" s="76">
        <f t="shared" si="6"/>
        <v>0.91739381553899035</v>
      </c>
      <c r="Q34" s="76">
        <f t="shared" si="7"/>
        <v>0.81258309542102414</v>
      </c>
      <c r="R34" s="80">
        <f t="shared" si="8"/>
        <v>1.0344043728344818</v>
      </c>
      <c r="S34" s="130">
        <f t="shared" si="9"/>
        <v>0.93314520272067103</v>
      </c>
    </row>
    <row r="35" spans="1:19" x14ac:dyDescent="0.4">
      <c r="A35">
        <f t="shared" si="4"/>
        <v>2023</v>
      </c>
      <c r="B35" s="62">
        <f t="shared" si="10"/>
        <v>45139</v>
      </c>
      <c r="C35" s="64">
        <f>SUMIFS(tbl_rep_mon[net_sales],tbl_rep_mon[region_id],C$3,tbl_rep_mon[month_start],$B35)</f>
        <v>211870.3</v>
      </c>
      <c r="D35" s="64">
        <f>SUMIFS(tbl_rep_mon[net_sales],tbl_rep_mon[region_id],D$3,tbl_rep_mon[month_start],$B35)</f>
        <v>388483.35</v>
      </c>
      <c r="E35" s="64">
        <f>SUMIFS(tbl_rep_mon[net_sales],tbl_rep_mon[region_id],E$3,tbl_rep_mon[month_start],$B35)</f>
        <v>385448.74000000005</v>
      </c>
      <c r="F35" s="65">
        <f>SUMIFS(tbl_rep_mon[net_sales],tbl_rep_mon[region_id],F$3,tbl_rep_mon[month_start],$B35)</f>
        <v>478112.88</v>
      </c>
      <c r="H35" s="62">
        <f t="shared" si="11"/>
        <v>45139</v>
      </c>
      <c r="I35" s="71">
        <f t="shared" si="0"/>
        <v>197030.41999999998</v>
      </c>
      <c r="J35" s="64">
        <f t="shared" si="1"/>
        <v>300821.18599999999</v>
      </c>
      <c r="K35" s="64">
        <f t="shared" si="2"/>
        <v>373529.06199999998</v>
      </c>
      <c r="L35" s="65">
        <f t="shared" si="3"/>
        <v>479061.07750000007</v>
      </c>
      <c r="N35" s="74">
        <f t="shared" si="12"/>
        <v>45139</v>
      </c>
      <c r="O35" s="79">
        <f t="shared" si="5"/>
        <v>1.0753177098236912</v>
      </c>
      <c r="P35" s="76">
        <f t="shared" si="6"/>
        <v>1.2914095418798062</v>
      </c>
      <c r="Q35" s="76">
        <f t="shared" si="7"/>
        <v>1.0319109788571152</v>
      </c>
      <c r="R35" s="80">
        <f t="shared" si="8"/>
        <v>0.99802071688865168</v>
      </c>
      <c r="S35" s="130">
        <f t="shared" si="9"/>
        <v>1.0840269673816894</v>
      </c>
    </row>
    <row r="36" spans="1:19" x14ac:dyDescent="0.4">
      <c r="A36">
        <f t="shared" si="4"/>
        <v>2023</v>
      </c>
      <c r="B36" s="62">
        <f t="shared" si="10"/>
        <v>45170</v>
      </c>
      <c r="C36" s="64">
        <f>SUMIFS(tbl_rep_mon[net_sales],tbl_rep_mon[region_id],C$3,tbl_rep_mon[month_start],$B36)</f>
        <v>210543.90000000002</v>
      </c>
      <c r="D36" s="64">
        <f>SUMIFS(tbl_rep_mon[net_sales],tbl_rep_mon[region_id],D$3,tbl_rep_mon[month_start],$B36)</f>
        <v>381445.93999999994</v>
      </c>
      <c r="E36" s="64">
        <f>SUMIFS(tbl_rep_mon[net_sales],tbl_rep_mon[region_id],E$3,tbl_rep_mon[month_start],$B36)</f>
        <v>411472.85000000003</v>
      </c>
      <c r="F36" s="65">
        <f>SUMIFS(tbl_rep_mon[net_sales],tbl_rep_mon[region_id],F$3,tbl_rep_mon[month_start],$B36)</f>
        <v>538332.39</v>
      </c>
      <c r="H36" s="62">
        <f t="shared" si="11"/>
        <v>45170</v>
      </c>
      <c r="I36" s="71">
        <f t="shared" ref="I36:I63" si="13">IFERROR(_xlfn.XLOOKUP(EDATE($B36,-12),$B$4:$B$63,C$4:C$63)*(1+target),_xlfn.XLOOKUP(I$3,region,seeding))</f>
        <v>216923.71799999999</v>
      </c>
      <c r="J36" s="64">
        <f t="shared" ref="J36:J63" si="14">IFERROR(_xlfn.XLOOKUP(EDATE($B36,-12),$B$4:$B$63,D$4:D$63)*(1+target),_xlfn.XLOOKUP(J$3,region,seeding))</f>
        <v>348865.196</v>
      </c>
      <c r="K36" s="64">
        <f t="shared" ref="K36:K63" si="15">IFERROR(_xlfn.XLOOKUP(EDATE($B36,-12),$B$4:$B$63,E$4:E$63)*(1+target),_xlfn.XLOOKUP(K$3,region,seeding))</f>
        <v>377679.1474999999</v>
      </c>
      <c r="L36" s="65">
        <f t="shared" ref="L36:L63" si="16">IFERROR(_xlfn.XLOOKUP(EDATE($B36,-12),$B$4:$B$63,F$4:F$63)*(1+target),_xlfn.XLOOKUP(L$3,region,seeding))</f>
        <v>508961.39949999994</v>
      </c>
      <c r="N36" s="74">
        <f t="shared" si="12"/>
        <v>45170</v>
      </c>
      <c r="O36" s="79">
        <f t="shared" si="5"/>
        <v>0.97058957840654392</v>
      </c>
      <c r="P36" s="76">
        <f t="shared" si="6"/>
        <v>1.093390640205909</v>
      </c>
      <c r="Q36" s="76">
        <f t="shared" si="7"/>
        <v>1.0894772791235454</v>
      </c>
      <c r="R36" s="80">
        <f t="shared" si="8"/>
        <v>1.0577076975363042</v>
      </c>
      <c r="S36" s="130">
        <f t="shared" si="9"/>
        <v>1.061528371187453</v>
      </c>
    </row>
    <row r="37" spans="1:19" x14ac:dyDescent="0.4">
      <c r="A37">
        <f t="shared" si="4"/>
        <v>2023</v>
      </c>
      <c r="B37" s="62">
        <f t="shared" si="10"/>
        <v>45200</v>
      </c>
      <c r="C37" s="64">
        <f>SUMIFS(tbl_rep_mon[net_sales],tbl_rep_mon[region_id],C$3,tbl_rep_mon[month_start],$B37)</f>
        <v>195959.76</v>
      </c>
      <c r="D37" s="64">
        <f>SUMIFS(tbl_rep_mon[net_sales],tbl_rep_mon[region_id],D$3,tbl_rep_mon[month_start],$B37)</f>
        <v>335788.41000000003</v>
      </c>
      <c r="E37" s="64">
        <f>SUMIFS(tbl_rep_mon[net_sales],tbl_rep_mon[region_id],E$3,tbl_rep_mon[month_start],$B37)</f>
        <v>366498.14</v>
      </c>
      <c r="F37" s="65">
        <f>SUMIFS(tbl_rep_mon[net_sales],tbl_rep_mon[region_id],F$3,tbl_rep_mon[month_start],$B37)</f>
        <v>477156.28999999992</v>
      </c>
      <c r="H37" s="62">
        <f t="shared" si="11"/>
        <v>45200</v>
      </c>
      <c r="I37" s="71">
        <f t="shared" si="13"/>
        <v>216261.93899999995</v>
      </c>
      <c r="J37" s="64">
        <f t="shared" si="14"/>
        <v>335451.72249999992</v>
      </c>
      <c r="K37" s="64">
        <f t="shared" si="15"/>
        <v>332745.88749999995</v>
      </c>
      <c r="L37" s="65">
        <f t="shared" si="16"/>
        <v>512908.01549999998</v>
      </c>
      <c r="N37" s="74">
        <f t="shared" si="12"/>
        <v>45200</v>
      </c>
      <c r="O37" s="79">
        <f t="shared" si="5"/>
        <v>0.90612227424817482</v>
      </c>
      <c r="P37" s="76">
        <f t="shared" si="6"/>
        <v>1.001003683920568</v>
      </c>
      <c r="Q37" s="76">
        <f t="shared" si="7"/>
        <v>1.1014355211227067</v>
      </c>
      <c r="R37" s="80">
        <f t="shared" si="8"/>
        <v>0.93029602887927565</v>
      </c>
      <c r="S37" s="130">
        <f t="shared" si="9"/>
        <v>0.98428118337793313</v>
      </c>
    </row>
    <row r="38" spans="1:19" x14ac:dyDescent="0.4">
      <c r="A38">
        <f t="shared" si="4"/>
        <v>2023</v>
      </c>
      <c r="B38" s="62">
        <f t="shared" si="10"/>
        <v>45231</v>
      </c>
      <c r="C38" s="64">
        <f>SUMIFS(tbl_rep_mon[net_sales],tbl_rep_mon[region_id],C$3,tbl_rep_mon[month_start],$B38)</f>
        <v>194710.64</v>
      </c>
      <c r="D38" s="64">
        <f>SUMIFS(tbl_rep_mon[net_sales],tbl_rep_mon[region_id],D$3,tbl_rep_mon[month_start],$B38)</f>
        <v>348154.18000000005</v>
      </c>
      <c r="E38" s="64">
        <f>SUMIFS(tbl_rep_mon[net_sales],tbl_rep_mon[region_id],E$3,tbl_rep_mon[month_start],$B38)</f>
        <v>303907.96000000002</v>
      </c>
      <c r="F38" s="65">
        <f>SUMIFS(tbl_rep_mon[net_sales],tbl_rep_mon[region_id],F$3,tbl_rep_mon[month_start],$B38)</f>
        <v>453463.25000000006</v>
      </c>
      <c r="H38" s="62">
        <f t="shared" si="11"/>
        <v>45231</v>
      </c>
      <c r="I38" s="71">
        <f t="shared" si="13"/>
        <v>202422.42499999999</v>
      </c>
      <c r="J38" s="64">
        <f t="shared" si="14"/>
        <v>335224.50549999997</v>
      </c>
      <c r="K38" s="64">
        <f t="shared" si="15"/>
        <v>331872.47399999999</v>
      </c>
      <c r="L38" s="65">
        <f t="shared" si="16"/>
        <v>491654.71600000001</v>
      </c>
      <c r="N38" s="74">
        <f t="shared" si="12"/>
        <v>45231</v>
      </c>
      <c r="O38" s="79">
        <f t="shared" si="5"/>
        <v>0.96190251648254899</v>
      </c>
      <c r="P38" s="76">
        <f t="shared" si="6"/>
        <v>1.0385701948630366</v>
      </c>
      <c r="Q38" s="76">
        <f t="shared" si="7"/>
        <v>0.91573716957315365</v>
      </c>
      <c r="R38" s="80">
        <f t="shared" si="8"/>
        <v>0.92232055392305046</v>
      </c>
      <c r="S38" s="130">
        <f t="shared" si="9"/>
        <v>0.95523123046328884</v>
      </c>
    </row>
    <row r="39" spans="1:19" x14ac:dyDescent="0.4">
      <c r="A39">
        <f t="shared" si="4"/>
        <v>2023</v>
      </c>
      <c r="B39" s="62">
        <f t="shared" si="10"/>
        <v>45261</v>
      </c>
      <c r="C39" s="64">
        <f>SUMIFS(tbl_rep_mon[net_sales],tbl_rep_mon[region_id],C$3,tbl_rep_mon[month_start],$B39)</f>
        <v>180975.16999999998</v>
      </c>
      <c r="D39" s="64">
        <f>SUMIFS(tbl_rep_mon[net_sales],tbl_rep_mon[region_id],D$3,tbl_rep_mon[month_start],$B39)</f>
        <v>338027.09</v>
      </c>
      <c r="E39" s="64">
        <f>SUMIFS(tbl_rep_mon[net_sales],tbl_rep_mon[region_id],E$3,tbl_rep_mon[month_start],$B39)</f>
        <v>319976.02999999997</v>
      </c>
      <c r="F39" s="65">
        <f>SUMIFS(tbl_rep_mon[net_sales],tbl_rep_mon[region_id],F$3,tbl_rep_mon[month_start],$B39)</f>
        <v>534326.93999999994</v>
      </c>
      <c r="H39" s="62">
        <f t="shared" si="11"/>
        <v>45261</v>
      </c>
      <c r="I39" s="71">
        <f t="shared" si="13"/>
        <v>211913.53599999999</v>
      </c>
      <c r="J39" s="64">
        <f t="shared" si="14"/>
        <v>324170.17649999994</v>
      </c>
      <c r="K39" s="64">
        <f t="shared" si="15"/>
        <v>356348.24599999993</v>
      </c>
      <c r="L39" s="65">
        <f t="shared" si="16"/>
        <v>485275.22899999993</v>
      </c>
      <c r="N39" s="74">
        <f t="shared" si="12"/>
        <v>45261</v>
      </c>
      <c r="O39" s="79">
        <f t="shared" si="5"/>
        <v>0.85400476730283048</v>
      </c>
      <c r="P39" s="76">
        <f t="shared" si="6"/>
        <v>1.0427457999055014</v>
      </c>
      <c r="Q39" s="76">
        <f t="shared" si="7"/>
        <v>0.89793070007141285</v>
      </c>
      <c r="R39" s="80">
        <f t="shared" si="8"/>
        <v>1.10108018721887</v>
      </c>
      <c r="S39" s="130">
        <f t="shared" si="9"/>
        <v>0.99680486714452898</v>
      </c>
    </row>
    <row r="40" spans="1:19" x14ac:dyDescent="0.4">
      <c r="A40">
        <f t="shared" si="4"/>
        <v>2024</v>
      </c>
      <c r="B40" s="62">
        <f t="shared" si="10"/>
        <v>45292</v>
      </c>
      <c r="C40" s="64">
        <f>SUMIFS(tbl_rep_mon[net_sales],tbl_rep_mon[region_id],C$3,tbl_rep_mon[month_start],$B40)</f>
        <v>243542.65</v>
      </c>
      <c r="D40" s="64">
        <f>SUMIFS(tbl_rep_mon[net_sales],tbl_rep_mon[region_id],D$3,tbl_rep_mon[month_start],$B40)</f>
        <v>379983.2</v>
      </c>
      <c r="E40" s="64">
        <f>SUMIFS(tbl_rep_mon[net_sales],tbl_rep_mon[region_id],E$3,tbl_rep_mon[month_start],$B40)</f>
        <v>361281.5</v>
      </c>
      <c r="F40" s="65">
        <f>SUMIFS(tbl_rep_mon[net_sales],tbl_rep_mon[region_id],F$3,tbl_rep_mon[month_start],$B40)</f>
        <v>512436.46</v>
      </c>
      <c r="H40" s="62">
        <f t="shared" si="11"/>
        <v>45292</v>
      </c>
      <c r="I40" s="71">
        <f t="shared" si="13"/>
        <v>233407.87549999997</v>
      </c>
      <c r="J40" s="64">
        <f t="shared" si="14"/>
        <v>407587.17449999996</v>
      </c>
      <c r="K40" s="64">
        <f t="shared" si="15"/>
        <v>389706.07749999996</v>
      </c>
      <c r="L40" s="65">
        <f t="shared" si="16"/>
        <v>547478.40700000001</v>
      </c>
      <c r="N40" s="74">
        <f t="shared" si="12"/>
        <v>45292</v>
      </c>
      <c r="O40" s="79">
        <f t="shared" si="5"/>
        <v>1.0434208763448516</v>
      </c>
      <c r="P40" s="76">
        <f t="shared" si="6"/>
        <v>0.93227467342694814</v>
      </c>
      <c r="Q40" s="76">
        <f t="shared" si="7"/>
        <v>0.92706149803373294</v>
      </c>
      <c r="R40" s="80">
        <f t="shared" si="8"/>
        <v>0.93599391948256327</v>
      </c>
      <c r="S40" s="130">
        <f t="shared" si="9"/>
        <v>0.94871576856074102</v>
      </c>
    </row>
    <row r="41" spans="1:19" x14ac:dyDescent="0.4">
      <c r="A41">
        <f t="shared" si="4"/>
        <v>2024</v>
      </c>
      <c r="B41" s="62">
        <f t="shared" si="10"/>
        <v>45323</v>
      </c>
      <c r="C41" s="64">
        <f>SUMIFS(tbl_rep_mon[net_sales],tbl_rep_mon[region_id],C$3,tbl_rep_mon[month_start],$B41)</f>
        <v>238940.40000000002</v>
      </c>
      <c r="D41" s="64">
        <f>SUMIFS(tbl_rep_mon[net_sales],tbl_rep_mon[region_id],D$3,tbl_rep_mon[month_start],$B41)</f>
        <v>400969.97</v>
      </c>
      <c r="E41" s="64">
        <f>SUMIFS(tbl_rep_mon[net_sales],tbl_rep_mon[region_id],E$3,tbl_rep_mon[month_start],$B41)</f>
        <v>386836.76</v>
      </c>
      <c r="F41" s="65">
        <f>SUMIFS(tbl_rep_mon[net_sales],tbl_rep_mon[region_id],F$3,tbl_rep_mon[month_start],$B41)</f>
        <v>539415.52000000014</v>
      </c>
      <c r="H41" s="62">
        <f t="shared" si="11"/>
        <v>45323</v>
      </c>
      <c r="I41" s="71">
        <f t="shared" si="13"/>
        <v>220177.47049999997</v>
      </c>
      <c r="J41" s="64">
        <f t="shared" si="14"/>
        <v>389218.10949999996</v>
      </c>
      <c r="K41" s="64">
        <f t="shared" si="15"/>
        <v>406346.6925</v>
      </c>
      <c r="L41" s="65">
        <f t="shared" si="16"/>
        <v>541333.46249999991</v>
      </c>
      <c r="N41" s="74">
        <f t="shared" si="12"/>
        <v>45323</v>
      </c>
      <c r="O41" s="79">
        <f t="shared" si="5"/>
        <v>1.0852172997418466</v>
      </c>
      <c r="P41" s="76">
        <f t="shared" si="6"/>
        <v>1.0301935090201655</v>
      </c>
      <c r="Q41" s="76">
        <f t="shared" si="7"/>
        <v>0.95198697845928693</v>
      </c>
      <c r="R41" s="80">
        <f t="shared" si="8"/>
        <v>0.99645700361632494</v>
      </c>
      <c r="S41" s="130">
        <f t="shared" si="9"/>
        <v>1.0058358850476854</v>
      </c>
    </row>
    <row r="42" spans="1:19" x14ac:dyDescent="0.4">
      <c r="A42">
        <f t="shared" si="4"/>
        <v>2024</v>
      </c>
      <c r="B42" s="62">
        <f t="shared" si="10"/>
        <v>45352</v>
      </c>
      <c r="C42" s="64">
        <f>SUMIFS(tbl_rep_mon[net_sales],tbl_rep_mon[region_id],C$3,tbl_rep_mon[month_start],$B42)</f>
        <v>242363.82</v>
      </c>
      <c r="D42" s="64">
        <f>SUMIFS(tbl_rep_mon[net_sales],tbl_rep_mon[region_id],D$3,tbl_rep_mon[month_start],$B42)</f>
        <v>435366.92</v>
      </c>
      <c r="E42" s="64">
        <f>SUMIFS(tbl_rep_mon[net_sales],tbl_rep_mon[region_id],E$3,tbl_rep_mon[month_start],$B42)</f>
        <v>416596.15</v>
      </c>
      <c r="F42" s="65">
        <f>SUMIFS(tbl_rep_mon[net_sales],tbl_rep_mon[region_id],F$3,tbl_rep_mon[month_start],$B42)</f>
        <v>540425.05000000005</v>
      </c>
      <c r="H42" s="62">
        <f t="shared" si="11"/>
        <v>45352</v>
      </c>
      <c r="I42" s="71">
        <f t="shared" si="13"/>
        <v>294483.85800000001</v>
      </c>
      <c r="J42" s="64">
        <f t="shared" si="14"/>
        <v>420814.348</v>
      </c>
      <c r="K42" s="64">
        <f t="shared" si="15"/>
        <v>397952.99199999997</v>
      </c>
      <c r="L42" s="65">
        <f t="shared" si="16"/>
        <v>574905.36649999989</v>
      </c>
      <c r="N42" s="74">
        <f t="shared" si="12"/>
        <v>45352</v>
      </c>
      <c r="O42" s="79">
        <f t="shared" si="5"/>
        <v>0.82301224130254369</v>
      </c>
      <c r="P42" s="76">
        <f t="shared" si="6"/>
        <v>1.0345819292264244</v>
      </c>
      <c r="Q42" s="76">
        <f t="shared" si="7"/>
        <v>1.0468476387281442</v>
      </c>
      <c r="R42" s="80">
        <f t="shared" si="8"/>
        <v>0.9400243613833098</v>
      </c>
      <c r="S42" s="130">
        <f t="shared" si="9"/>
        <v>0.96836512345890313</v>
      </c>
    </row>
    <row r="43" spans="1:19" x14ac:dyDescent="0.4">
      <c r="A43">
        <f t="shared" si="4"/>
        <v>2024</v>
      </c>
      <c r="B43" s="62">
        <f t="shared" si="10"/>
        <v>45383</v>
      </c>
      <c r="C43" s="64">
        <f>SUMIFS(tbl_rep_mon[net_sales],tbl_rep_mon[region_id],C$3,tbl_rep_mon[month_start],$B43)</f>
        <v>255150.46000000002</v>
      </c>
      <c r="D43" s="64">
        <f>SUMIFS(tbl_rep_mon[net_sales],tbl_rep_mon[region_id],D$3,tbl_rep_mon[month_start],$B43)</f>
        <v>471025.04</v>
      </c>
      <c r="E43" s="64">
        <f>SUMIFS(tbl_rep_mon[net_sales],tbl_rep_mon[region_id],E$3,tbl_rep_mon[month_start],$B43)</f>
        <v>391055.44</v>
      </c>
      <c r="F43" s="65">
        <f>SUMIFS(tbl_rep_mon[net_sales],tbl_rep_mon[region_id],F$3,tbl_rep_mon[month_start],$B43)</f>
        <v>592719.71</v>
      </c>
      <c r="H43" s="62">
        <f t="shared" si="11"/>
        <v>45383</v>
      </c>
      <c r="I43" s="71">
        <f t="shared" si="13"/>
        <v>234844.68549999999</v>
      </c>
      <c r="J43" s="64">
        <f t="shared" si="14"/>
        <v>336601.45799999998</v>
      </c>
      <c r="K43" s="64">
        <f t="shared" si="15"/>
        <v>458387.41249999998</v>
      </c>
      <c r="L43" s="65">
        <f t="shared" si="16"/>
        <v>565311.38799999992</v>
      </c>
      <c r="N43" s="74">
        <f t="shared" si="12"/>
        <v>45383</v>
      </c>
      <c r="O43" s="79">
        <f t="shared" si="5"/>
        <v>1.0864646966856741</v>
      </c>
      <c r="P43" s="76">
        <f t="shared" si="6"/>
        <v>1.399355317112144</v>
      </c>
      <c r="Q43" s="76">
        <f t="shared" si="7"/>
        <v>0.85311120972371823</v>
      </c>
      <c r="R43" s="80">
        <f t="shared" si="8"/>
        <v>1.0484835837059063</v>
      </c>
      <c r="S43" s="130">
        <f t="shared" si="9"/>
        <v>1.0719719586811416</v>
      </c>
    </row>
    <row r="44" spans="1:19" x14ac:dyDescent="0.4">
      <c r="A44">
        <f t="shared" si="4"/>
        <v>2024</v>
      </c>
      <c r="B44" s="62">
        <f t="shared" si="10"/>
        <v>45413</v>
      </c>
      <c r="C44" s="64">
        <f>SUMIFS(tbl_rep_mon[net_sales],tbl_rep_mon[region_id],C$3,tbl_rep_mon[month_start],$B44)</f>
        <v>296463.42</v>
      </c>
      <c r="D44" s="64">
        <f>SUMIFS(tbl_rep_mon[net_sales],tbl_rep_mon[region_id],D$3,tbl_rep_mon[month_start],$B44)</f>
        <v>434588.89999999997</v>
      </c>
      <c r="E44" s="64">
        <f>SUMIFS(tbl_rep_mon[net_sales],tbl_rep_mon[region_id],E$3,tbl_rep_mon[month_start],$B44)</f>
        <v>443538.29</v>
      </c>
      <c r="F44" s="65">
        <f>SUMIFS(tbl_rep_mon[net_sales],tbl_rep_mon[region_id],F$3,tbl_rep_mon[month_start],$B44)</f>
        <v>592808.88</v>
      </c>
      <c r="H44" s="62">
        <f t="shared" si="11"/>
        <v>45413</v>
      </c>
      <c r="I44" s="71">
        <f t="shared" si="13"/>
        <v>227324.39850000001</v>
      </c>
      <c r="J44" s="64">
        <f t="shared" si="14"/>
        <v>395018.75549999997</v>
      </c>
      <c r="K44" s="64">
        <f t="shared" si="15"/>
        <v>484404.86299999995</v>
      </c>
      <c r="L44" s="65">
        <f t="shared" si="16"/>
        <v>544626.36099999992</v>
      </c>
      <c r="N44" s="74">
        <f t="shared" si="12"/>
        <v>45413</v>
      </c>
      <c r="O44" s="79">
        <f t="shared" si="5"/>
        <v>1.3041425467579097</v>
      </c>
      <c r="P44" s="76">
        <f t="shared" si="6"/>
        <v>1.1001728245787052</v>
      </c>
      <c r="Q44" s="76">
        <f t="shared" si="7"/>
        <v>0.91563550219767309</v>
      </c>
      <c r="R44" s="80">
        <f t="shared" si="8"/>
        <v>1.0884689439408168</v>
      </c>
      <c r="S44" s="130">
        <f t="shared" si="9"/>
        <v>1.0702597264107483</v>
      </c>
    </row>
    <row r="45" spans="1:19" x14ac:dyDescent="0.4">
      <c r="A45">
        <f t="shared" si="4"/>
        <v>2024</v>
      </c>
      <c r="B45" s="62">
        <f t="shared" si="10"/>
        <v>45444</v>
      </c>
      <c r="C45" s="64">
        <f>SUMIFS(tbl_rep_mon[net_sales],tbl_rep_mon[region_id],C$3,tbl_rep_mon[month_start],$B45)</f>
        <v>264011.24</v>
      </c>
      <c r="D45" s="64">
        <f>SUMIFS(tbl_rep_mon[net_sales],tbl_rep_mon[region_id],D$3,tbl_rep_mon[month_start],$B45)</f>
        <v>479557.8</v>
      </c>
      <c r="E45" s="64">
        <f>SUMIFS(tbl_rep_mon[net_sales],tbl_rep_mon[region_id],E$3,tbl_rep_mon[month_start],$B45)</f>
        <v>431474.75</v>
      </c>
      <c r="F45" s="65">
        <f>SUMIFS(tbl_rep_mon[net_sales],tbl_rep_mon[region_id],F$3,tbl_rep_mon[month_start],$B45)</f>
        <v>602990.47</v>
      </c>
      <c r="H45" s="62">
        <f t="shared" si="11"/>
        <v>45444</v>
      </c>
      <c r="I45" s="71">
        <f t="shared" si="13"/>
        <v>261815.43999999994</v>
      </c>
      <c r="J45" s="64">
        <f t="shared" si="14"/>
        <v>459198.49599999998</v>
      </c>
      <c r="K45" s="64">
        <f t="shared" si="15"/>
        <v>429623.92300000007</v>
      </c>
      <c r="L45" s="65">
        <f t="shared" si="16"/>
        <v>600146.4865</v>
      </c>
      <c r="N45" s="74">
        <f t="shared" si="12"/>
        <v>45444</v>
      </c>
      <c r="O45" s="79">
        <f t="shared" si="5"/>
        <v>1.0083868239397953</v>
      </c>
      <c r="P45" s="76">
        <f t="shared" si="6"/>
        <v>1.0443366086286137</v>
      </c>
      <c r="Q45" s="76">
        <f t="shared" si="7"/>
        <v>1.004308016618525</v>
      </c>
      <c r="R45" s="80">
        <f t="shared" si="8"/>
        <v>1.0047388155458274</v>
      </c>
      <c r="S45" s="130">
        <f t="shared" si="9"/>
        <v>1.0155644037885303</v>
      </c>
    </row>
    <row r="46" spans="1:19" x14ac:dyDescent="0.4">
      <c r="A46">
        <f t="shared" si="4"/>
        <v>2024</v>
      </c>
      <c r="B46" s="62">
        <f t="shared" si="10"/>
        <v>45474</v>
      </c>
      <c r="C46" s="64">
        <f>SUMIFS(tbl_rep_mon[net_sales],tbl_rep_mon[region_id],C$3,tbl_rep_mon[month_start],$B46)</f>
        <v>262502.49</v>
      </c>
      <c r="D46" s="64">
        <f>SUMIFS(tbl_rep_mon[net_sales],tbl_rep_mon[region_id],D$3,tbl_rep_mon[month_start],$B46)</f>
        <v>397893.75</v>
      </c>
      <c r="E46" s="64">
        <f>SUMIFS(tbl_rep_mon[net_sales],tbl_rep_mon[region_id],E$3,tbl_rep_mon[month_start],$B46)</f>
        <v>427896.90000000008</v>
      </c>
      <c r="F46" s="65">
        <f>SUMIFS(tbl_rep_mon[net_sales],tbl_rep_mon[region_id],F$3,tbl_rep_mon[month_start],$B46)</f>
        <v>622668.07999999996</v>
      </c>
      <c r="H46" s="62">
        <f t="shared" si="11"/>
        <v>45474</v>
      </c>
      <c r="I46" s="71">
        <f t="shared" si="13"/>
        <v>231429.0245</v>
      </c>
      <c r="J46" s="64">
        <f t="shared" si="14"/>
        <v>387645.18549999996</v>
      </c>
      <c r="K46" s="64">
        <f t="shared" si="15"/>
        <v>355848.65149999998</v>
      </c>
      <c r="L46" s="65">
        <f t="shared" si="16"/>
        <v>627097.02399999998</v>
      </c>
      <c r="N46" s="74">
        <f t="shared" si="12"/>
        <v>45474</v>
      </c>
      <c r="O46" s="79">
        <f t="shared" si="5"/>
        <v>1.1342677979442461</v>
      </c>
      <c r="P46" s="76">
        <f t="shared" si="6"/>
        <v>1.0264380028008888</v>
      </c>
      <c r="Q46" s="76">
        <f t="shared" si="7"/>
        <v>1.2024687973280126</v>
      </c>
      <c r="R46" s="80">
        <f t="shared" si="8"/>
        <v>0.99293738635251438</v>
      </c>
      <c r="S46" s="130">
        <f t="shared" si="9"/>
        <v>1.0680024857906174</v>
      </c>
    </row>
    <row r="47" spans="1:19" x14ac:dyDescent="0.4">
      <c r="A47">
        <f t="shared" si="4"/>
        <v>2024</v>
      </c>
      <c r="B47" s="62">
        <f t="shared" si="10"/>
        <v>45505</v>
      </c>
      <c r="C47" s="64">
        <f>SUMIFS(tbl_rep_mon[net_sales],tbl_rep_mon[region_id],C$3,tbl_rep_mon[month_start],$B47)</f>
        <v>267806.04000000004</v>
      </c>
      <c r="D47" s="64">
        <f>SUMIFS(tbl_rep_mon[net_sales],tbl_rep_mon[region_id],D$3,tbl_rep_mon[month_start],$B47)</f>
        <v>448725.51</v>
      </c>
      <c r="E47" s="64">
        <f>SUMIFS(tbl_rep_mon[net_sales],tbl_rep_mon[region_id],E$3,tbl_rep_mon[month_start],$B47)</f>
        <v>378875.96</v>
      </c>
      <c r="F47" s="65">
        <f>SUMIFS(tbl_rep_mon[net_sales],tbl_rep_mon[region_id],F$3,tbl_rep_mon[month_start],$B47)</f>
        <v>583644.99</v>
      </c>
      <c r="H47" s="62">
        <f t="shared" si="11"/>
        <v>45505</v>
      </c>
      <c r="I47" s="71">
        <f t="shared" si="13"/>
        <v>243650.84499999997</v>
      </c>
      <c r="J47" s="64">
        <f t="shared" si="14"/>
        <v>446755.85249999992</v>
      </c>
      <c r="K47" s="64">
        <f t="shared" si="15"/>
        <v>443266.05100000004</v>
      </c>
      <c r="L47" s="65">
        <f t="shared" si="16"/>
        <v>549829.81199999992</v>
      </c>
      <c r="N47" s="74">
        <f t="shared" si="12"/>
        <v>45505</v>
      </c>
      <c r="O47" s="79">
        <f t="shared" si="5"/>
        <v>1.099138564448648</v>
      </c>
      <c r="P47" s="76">
        <f t="shared" si="6"/>
        <v>1.0044088006659075</v>
      </c>
      <c r="Q47" s="76">
        <f t="shared" si="7"/>
        <v>0.85473714746541685</v>
      </c>
      <c r="R47" s="80">
        <f t="shared" si="8"/>
        <v>1.0615011722936551</v>
      </c>
      <c r="S47" s="130">
        <f t="shared" si="9"/>
        <v>0.99735666544001078</v>
      </c>
    </row>
    <row r="48" spans="1:19" x14ac:dyDescent="0.4">
      <c r="A48">
        <f t="shared" si="4"/>
        <v>2024</v>
      </c>
      <c r="B48" s="62">
        <f t="shared" si="10"/>
        <v>45536</v>
      </c>
      <c r="C48" s="64">
        <f>SUMIFS(tbl_rep_mon[net_sales],tbl_rep_mon[region_id],C$3,tbl_rep_mon[month_start],$B48)</f>
        <v>293026.61</v>
      </c>
      <c r="D48" s="64">
        <f>SUMIFS(tbl_rep_mon[net_sales],tbl_rep_mon[region_id],D$3,tbl_rep_mon[month_start],$B48)</f>
        <v>450358.43</v>
      </c>
      <c r="E48" s="64">
        <f>SUMIFS(tbl_rep_mon[net_sales],tbl_rep_mon[region_id],E$3,tbl_rep_mon[month_start],$B48)</f>
        <v>324225.75</v>
      </c>
      <c r="F48" s="65">
        <f>SUMIFS(tbl_rep_mon[net_sales],tbl_rep_mon[region_id],F$3,tbl_rep_mon[month_start],$B48)</f>
        <v>550675.06999999995</v>
      </c>
      <c r="H48" s="62">
        <f t="shared" si="11"/>
        <v>45536</v>
      </c>
      <c r="I48" s="71">
        <f t="shared" si="13"/>
        <v>242125.48500000002</v>
      </c>
      <c r="J48" s="64">
        <f t="shared" si="14"/>
        <v>438662.83099999989</v>
      </c>
      <c r="K48" s="64">
        <f t="shared" si="15"/>
        <v>473193.77750000003</v>
      </c>
      <c r="L48" s="65">
        <f t="shared" si="16"/>
        <v>619082.24849999999</v>
      </c>
      <c r="N48" s="74">
        <f t="shared" si="12"/>
        <v>45536</v>
      </c>
      <c r="O48" s="79">
        <f t="shared" si="5"/>
        <v>1.2102262180290519</v>
      </c>
      <c r="P48" s="76">
        <f t="shared" si="6"/>
        <v>1.0266619329778595</v>
      </c>
      <c r="Q48" s="76">
        <f t="shared" si="7"/>
        <v>0.68518599655507939</v>
      </c>
      <c r="R48" s="80">
        <f t="shared" si="8"/>
        <v>0.88950227749907762</v>
      </c>
      <c r="S48" s="130">
        <f t="shared" si="9"/>
        <v>0.9127056597250095</v>
      </c>
    </row>
    <row r="49" spans="1:19" x14ac:dyDescent="0.4">
      <c r="A49">
        <f t="shared" si="4"/>
        <v>2024</v>
      </c>
      <c r="B49" s="62">
        <f t="shared" si="10"/>
        <v>45566</v>
      </c>
      <c r="C49" s="64">
        <f>SUMIFS(tbl_rep_mon[net_sales],tbl_rep_mon[region_id],C$3,tbl_rep_mon[month_start],$B49)</f>
        <v>258601.41</v>
      </c>
      <c r="D49" s="64">
        <f>SUMIFS(tbl_rep_mon[net_sales],tbl_rep_mon[region_id],D$3,tbl_rep_mon[month_start],$B49)</f>
        <v>399772.45</v>
      </c>
      <c r="E49" s="64">
        <f>SUMIFS(tbl_rep_mon[net_sales],tbl_rep_mon[region_id],E$3,tbl_rep_mon[month_start],$B49)</f>
        <v>378726.92</v>
      </c>
      <c r="F49" s="65">
        <f>SUMIFS(tbl_rep_mon[net_sales],tbl_rep_mon[region_id],F$3,tbl_rep_mon[month_start],$B49)</f>
        <v>502930.89999999991</v>
      </c>
      <c r="H49" s="62">
        <f t="shared" si="11"/>
        <v>45566</v>
      </c>
      <c r="I49" s="71">
        <f t="shared" si="13"/>
        <v>225353.72399999999</v>
      </c>
      <c r="J49" s="64">
        <f t="shared" si="14"/>
        <v>386156.6715</v>
      </c>
      <c r="K49" s="64">
        <f t="shared" si="15"/>
        <v>421472.86099999998</v>
      </c>
      <c r="L49" s="65">
        <f t="shared" si="16"/>
        <v>548729.73349999986</v>
      </c>
      <c r="N49" s="74">
        <f t="shared" si="12"/>
        <v>45566</v>
      </c>
      <c r="O49" s="79">
        <f t="shared" si="5"/>
        <v>1.1475355517089214</v>
      </c>
      <c r="P49" s="76">
        <f t="shared" si="6"/>
        <v>1.035259726180854</v>
      </c>
      <c r="Q49" s="76">
        <f t="shared" si="7"/>
        <v>0.89857961222324112</v>
      </c>
      <c r="R49" s="80">
        <f t="shared" si="8"/>
        <v>0.91653662868261543</v>
      </c>
      <c r="S49" s="130">
        <f t="shared" si="9"/>
        <v>0.97364799412818892</v>
      </c>
    </row>
    <row r="50" spans="1:19" x14ac:dyDescent="0.4">
      <c r="A50">
        <f t="shared" si="4"/>
        <v>2024</v>
      </c>
      <c r="B50" s="62">
        <f t="shared" si="10"/>
        <v>45597</v>
      </c>
      <c r="C50" s="64">
        <f>SUMIFS(tbl_rep_mon[net_sales],tbl_rep_mon[region_id],C$3,tbl_rep_mon[month_start],$B50)</f>
        <v>192247.76</v>
      </c>
      <c r="D50" s="64">
        <f>SUMIFS(tbl_rep_mon[net_sales],tbl_rep_mon[region_id],D$3,tbl_rep_mon[month_start],$B50)</f>
        <v>363517.1</v>
      </c>
      <c r="E50" s="64">
        <f>SUMIFS(tbl_rep_mon[net_sales],tbl_rep_mon[region_id],E$3,tbl_rep_mon[month_start],$B50)</f>
        <v>285656.19</v>
      </c>
      <c r="F50" s="65">
        <f>SUMIFS(tbl_rep_mon[net_sales],tbl_rep_mon[region_id],F$3,tbl_rep_mon[month_start],$B50)</f>
        <v>521078.95</v>
      </c>
      <c r="H50" s="62">
        <f t="shared" si="11"/>
        <v>45597</v>
      </c>
      <c r="I50" s="71">
        <f t="shared" si="13"/>
        <v>223917.236</v>
      </c>
      <c r="J50" s="64">
        <f t="shared" si="14"/>
        <v>400377.30700000003</v>
      </c>
      <c r="K50" s="64">
        <f t="shared" si="15"/>
        <v>349494.15399999998</v>
      </c>
      <c r="L50" s="65">
        <f t="shared" si="16"/>
        <v>521482.73750000005</v>
      </c>
      <c r="N50" s="74">
        <f t="shared" si="12"/>
        <v>45597</v>
      </c>
      <c r="O50" s="79">
        <f t="shared" si="5"/>
        <v>0.85856615343358389</v>
      </c>
      <c r="P50" s="76">
        <f t="shared" si="6"/>
        <v>0.90793632317428008</v>
      </c>
      <c r="Q50" s="76">
        <f t="shared" si="7"/>
        <v>0.81734182598087179</v>
      </c>
      <c r="R50" s="80">
        <f t="shared" si="8"/>
        <v>0.99922569344876921</v>
      </c>
      <c r="S50" s="130">
        <f t="shared" si="9"/>
        <v>0.91120579753173903</v>
      </c>
    </row>
    <row r="51" spans="1:19" x14ac:dyDescent="0.4">
      <c r="A51">
        <f t="shared" si="4"/>
        <v>2024</v>
      </c>
      <c r="B51" s="62">
        <f t="shared" si="10"/>
        <v>45627</v>
      </c>
      <c r="C51" s="64">
        <f>SUMIFS(tbl_rep_mon[net_sales],tbl_rep_mon[region_id],C$3,tbl_rep_mon[month_start],$B51)</f>
        <v>222516.83</v>
      </c>
      <c r="D51" s="64">
        <f>SUMIFS(tbl_rep_mon[net_sales],tbl_rep_mon[region_id],D$3,tbl_rep_mon[month_start],$B51)</f>
        <v>394375.33999999997</v>
      </c>
      <c r="E51" s="64">
        <f>SUMIFS(tbl_rep_mon[net_sales],tbl_rep_mon[region_id],E$3,tbl_rep_mon[month_start],$B51)</f>
        <v>204016.46</v>
      </c>
      <c r="F51" s="65">
        <f>SUMIFS(tbl_rep_mon[net_sales],tbl_rep_mon[region_id],F$3,tbl_rep_mon[month_start],$B51)</f>
        <v>460913.64</v>
      </c>
      <c r="H51" s="62">
        <f t="shared" si="11"/>
        <v>45627</v>
      </c>
      <c r="I51" s="71">
        <f t="shared" si="13"/>
        <v>208121.44549999997</v>
      </c>
      <c r="J51" s="64">
        <f t="shared" si="14"/>
        <v>388731.15350000001</v>
      </c>
      <c r="K51" s="64">
        <f t="shared" si="15"/>
        <v>367972.43449999992</v>
      </c>
      <c r="L51" s="65">
        <f t="shared" si="16"/>
        <v>614475.98099999991</v>
      </c>
      <c r="N51" s="74">
        <f t="shared" si="12"/>
        <v>45627</v>
      </c>
      <c r="O51" s="79">
        <f t="shared" si="5"/>
        <v>1.0691681939139714</v>
      </c>
      <c r="P51" s="76">
        <f t="shared" si="6"/>
        <v>1.01451951161923</v>
      </c>
      <c r="Q51" s="76">
        <f t="shared" si="7"/>
        <v>0.55443408492600021</v>
      </c>
      <c r="R51" s="80">
        <f t="shared" si="8"/>
        <v>0.75009219929135051</v>
      </c>
      <c r="S51" s="130">
        <f t="shared" si="9"/>
        <v>0.8116389834687846</v>
      </c>
    </row>
    <row r="52" spans="1:19" x14ac:dyDescent="0.4">
      <c r="A52">
        <f t="shared" si="4"/>
        <v>2025</v>
      </c>
      <c r="B52" s="62">
        <f t="shared" si="10"/>
        <v>45658</v>
      </c>
      <c r="C52" s="64">
        <f>SUMIFS(tbl_rep_mon[net_sales],tbl_rep_mon[region_id],C$3,tbl_rep_mon[month_start],$B52)</f>
        <v>225036.14</v>
      </c>
      <c r="D52" s="64">
        <f>SUMIFS(tbl_rep_mon[net_sales],tbl_rep_mon[region_id],D$3,tbl_rep_mon[month_start],$B52)</f>
        <v>457792.54000000004</v>
      </c>
      <c r="E52" s="64">
        <f>SUMIFS(tbl_rep_mon[net_sales],tbl_rep_mon[region_id],E$3,tbl_rep_mon[month_start],$B52)</f>
        <v>378334.95999999996</v>
      </c>
      <c r="F52" s="65">
        <f>SUMIFS(tbl_rep_mon[net_sales],tbl_rep_mon[region_id],F$3,tbl_rep_mon[month_start],$B52)</f>
        <v>639865.39</v>
      </c>
      <c r="H52" s="62">
        <f t="shared" si="11"/>
        <v>45658</v>
      </c>
      <c r="I52" s="71">
        <f t="shared" si="13"/>
        <v>280074.04749999999</v>
      </c>
      <c r="J52" s="64">
        <f t="shared" si="14"/>
        <v>436980.68</v>
      </c>
      <c r="K52" s="64">
        <f t="shared" si="15"/>
        <v>415473.72499999998</v>
      </c>
      <c r="L52" s="65">
        <f t="shared" si="16"/>
        <v>589301.929</v>
      </c>
      <c r="N52" s="74">
        <f t="shared" si="12"/>
        <v>45658</v>
      </c>
      <c r="O52" s="79">
        <f t="shared" si="5"/>
        <v>0.80348801329048536</v>
      </c>
      <c r="P52" s="76">
        <f t="shared" si="6"/>
        <v>1.0476264991852731</v>
      </c>
      <c r="Q52" s="76">
        <f t="shared" si="7"/>
        <v>0.91061103803856669</v>
      </c>
      <c r="R52" s="80">
        <f t="shared" si="8"/>
        <v>1.0858023001652179</v>
      </c>
      <c r="S52" s="130">
        <f t="shared" si="9"/>
        <v>0.98791904723978763</v>
      </c>
    </row>
    <row r="53" spans="1:19" x14ac:dyDescent="0.4">
      <c r="A53">
        <f t="shared" si="4"/>
        <v>2025</v>
      </c>
      <c r="B53" s="62">
        <f t="shared" si="10"/>
        <v>45689</v>
      </c>
      <c r="C53" s="64">
        <f>SUMIFS(tbl_rep_mon[net_sales],tbl_rep_mon[region_id],C$3,tbl_rep_mon[month_start],$B53)</f>
        <v>271309.46999999997</v>
      </c>
      <c r="D53" s="64">
        <f>SUMIFS(tbl_rep_mon[net_sales],tbl_rep_mon[region_id],D$3,tbl_rep_mon[month_start],$B53)</f>
        <v>401335.17</v>
      </c>
      <c r="E53" s="64">
        <f>SUMIFS(tbl_rep_mon[net_sales],tbl_rep_mon[region_id],E$3,tbl_rep_mon[month_start],$B53)</f>
        <v>408544.68999999994</v>
      </c>
      <c r="F53" s="65">
        <f>SUMIFS(tbl_rep_mon[net_sales],tbl_rep_mon[region_id],F$3,tbl_rep_mon[month_start],$B53)</f>
        <v>499020.07999999996</v>
      </c>
      <c r="H53" s="62">
        <f t="shared" si="11"/>
        <v>45689</v>
      </c>
      <c r="I53" s="71">
        <f t="shared" si="13"/>
        <v>274781.46000000002</v>
      </c>
      <c r="J53" s="64">
        <f t="shared" si="14"/>
        <v>461115.46549999993</v>
      </c>
      <c r="K53" s="64">
        <f t="shared" si="15"/>
        <v>444862.27399999998</v>
      </c>
      <c r="L53" s="65">
        <f t="shared" si="16"/>
        <v>620327.84800000011</v>
      </c>
      <c r="N53" s="74">
        <f t="shared" si="12"/>
        <v>45689</v>
      </c>
      <c r="O53" s="79">
        <f t="shared" si="5"/>
        <v>0.98736454053341138</v>
      </c>
      <c r="P53" s="76">
        <f t="shared" si="6"/>
        <v>0.87035720991231869</v>
      </c>
      <c r="Q53" s="76">
        <f t="shared" si="7"/>
        <v>0.91836218505685197</v>
      </c>
      <c r="R53" s="80">
        <f t="shared" si="8"/>
        <v>0.80444571625938011</v>
      </c>
      <c r="S53" s="130">
        <f t="shared" si="9"/>
        <v>0.87736426298407422</v>
      </c>
    </row>
    <row r="54" spans="1:19" x14ac:dyDescent="0.4">
      <c r="A54">
        <f t="shared" si="4"/>
        <v>2025</v>
      </c>
      <c r="B54" s="62">
        <f t="shared" si="10"/>
        <v>45717</v>
      </c>
      <c r="C54" s="64">
        <f>SUMIFS(tbl_rep_mon[net_sales],tbl_rep_mon[region_id],C$3,tbl_rep_mon[month_start],$B54)</f>
        <v>284344.01</v>
      </c>
      <c r="D54" s="64">
        <f>SUMIFS(tbl_rep_mon[net_sales],tbl_rep_mon[region_id],D$3,tbl_rep_mon[month_start],$B54)</f>
        <v>422636.88</v>
      </c>
      <c r="E54" s="64">
        <f>SUMIFS(tbl_rep_mon[net_sales],tbl_rep_mon[region_id],E$3,tbl_rep_mon[month_start],$B54)</f>
        <v>466348</v>
      </c>
      <c r="F54" s="65">
        <f>SUMIFS(tbl_rep_mon[net_sales],tbl_rep_mon[region_id],F$3,tbl_rep_mon[month_start],$B54)</f>
        <v>566293.21</v>
      </c>
      <c r="H54" s="62">
        <f t="shared" si="11"/>
        <v>45717</v>
      </c>
      <c r="I54" s="71">
        <f t="shared" si="13"/>
        <v>278718.39299999998</v>
      </c>
      <c r="J54" s="64">
        <f t="shared" si="14"/>
        <v>500671.95799999993</v>
      </c>
      <c r="K54" s="64">
        <f t="shared" si="15"/>
        <v>479085.57250000001</v>
      </c>
      <c r="L54" s="65">
        <f t="shared" si="16"/>
        <v>621488.8075</v>
      </c>
      <c r="N54" s="74">
        <f t="shared" si="12"/>
        <v>45717</v>
      </c>
      <c r="O54" s="79">
        <f t="shared" si="5"/>
        <v>1.0201838742662384</v>
      </c>
      <c r="P54" s="76">
        <f t="shared" si="6"/>
        <v>0.84413930767818246</v>
      </c>
      <c r="Q54" s="76">
        <f t="shared" si="7"/>
        <v>0.97341274037218062</v>
      </c>
      <c r="R54" s="80">
        <f t="shared" si="8"/>
        <v>0.91118810695557051</v>
      </c>
      <c r="S54" s="130">
        <f t="shared" si="9"/>
        <v>0.92534826388719094</v>
      </c>
    </row>
    <row r="55" spans="1:19" x14ac:dyDescent="0.4">
      <c r="A55">
        <f t="shared" si="4"/>
        <v>2025</v>
      </c>
      <c r="B55" s="62">
        <f t="shared" si="10"/>
        <v>45748</v>
      </c>
      <c r="C55" s="64">
        <f>SUMIFS(tbl_rep_mon[net_sales],tbl_rep_mon[region_id],C$3,tbl_rep_mon[month_start],$B55)</f>
        <v>308946.13</v>
      </c>
      <c r="D55" s="64">
        <f>SUMIFS(tbl_rep_mon[net_sales],tbl_rep_mon[region_id],D$3,tbl_rep_mon[month_start],$B55)</f>
        <v>510342.26999999996</v>
      </c>
      <c r="E55" s="64">
        <f>SUMIFS(tbl_rep_mon[net_sales],tbl_rep_mon[region_id],E$3,tbl_rep_mon[month_start],$B55)</f>
        <v>420198.03</v>
      </c>
      <c r="F55" s="65">
        <f>SUMIFS(tbl_rep_mon[net_sales],tbl_rep_mon[region_id],F$3,tbl_rep_mon[month_start],$B55)</f>
        <v>699476.1100000001</v>
      </c>
      <c r="H55" s="62">
        <f t="shared" si="11"/>
        <v>45748</v>
      </c>
      <c r="I55" s="71">
        <f t="shared" si="13"/>
        <v>293423.02899999998</v>
      </c>
      <c r="J55" s="64">
        <f t="shared" si="14"/>
        <v>541678.79599999997</v>
      </c>
      <c r="K55" s="64">
        <f t="shared" si="15"/>
        <v>449713.75599999999</v>
      </c>
      <c r="L55" s="65">
        <f t="shared" si="16"/>
        <v>681627.66649999993</v>
      </c>
      <c r="N55" s="74">
        <f t="shared" si="12"/>
        <v>45748</v>
      </c>
      <c r="O55" s="79">
        <f t="shared" si="5"/>
        <v>1.0529034856360917</v>
      </c>
      <c r="P55" s="76">
        <f t="shared" si="6"/>
        <v>0.942149247429652</v>
      </c>
      <c r="Q55" s="76">
        <f t="shared" si="7"/>
        <v>0.93436774924892452</v>
      </c>
      <c r="R55" s="80">
        <f t="shared" si="8"/>
        <v>1.0261850338200733</v>
      </c>
      <c r="S55" s="130">
        <f t="shared" si="9"/>
        <v>0.98602517131631584</v>
      </c>
    </row>
    <row r="56" spans="1:19" x14ac:dyDescent="0.4">
      <c r="A56">
        <f t="shared" si="4"/>
        <v>2025</v>
      </c>
      <c r="B56" s="62">
        <f t="shared" si="10"/>
        <v>45778</v>
      </c>
      <c r="C56" s="64">
        <f>SUMIFS(tbl_rep_mon[net_sales],tbl_rep_mon[region_id],C$3,tbl_rep_mon[month_start],$B56)</f>
        <v>343039.42</v>
      </c>
      <c r="D56" s="64">
        <f>SUMIFS(tbl_rep_mon[net_sales],tbl_rep_mon[region_id],D$3,tbl_rep_mon[month_start],$B56)</f>
        <v>437606.89</v>
      </c>
      <c r="E56" s="64">
        <f>SUMIFS(tbl_rep_mon[net_sales],tbl_rep_mon[region_id],E$3,tbl_rep_mon[month_start],$B56)</f>
        <v>454119.6</v>
      </c>
      <c r="F56" s="65">
        <f>SUMIFS(tbl_rep_mon[net_sales],tbl_rep_mon[region_id],F$3,tbl_rep_mon[month_start],$B56)</f>
        <v>762132.9</v>
      </c>
      <c r="H56" s="62">
        <f t="shared" si="11"/>
        <v>45778</v>
      </c>
      <c r="I56" s="71">
        <f t="shared" si="13"/>
        <v>340932.93299999996</v>
      </c>
      <c r="J56" s="64">
        <f t="shared" si="14"/>
        <v>499777.23499999993</v>
      </c>
      <c r="K56" s="64">
        <f t="shared" si="15"/>
        <v>510069.03349999996</v>
      </c>
      <c r="L56" s="65">
        <f t="shared" si="16"/>
        <v>681730.21199999994</v>
      </c>
      <c r="N56" s="74">
        <f t="shared" si="12"/>
        <v>45778</v>
      </c>
      <c r="O56" s="79">
        <f t="shared" si="5"/>
        <v>1.0061785964220711</v>
      </c>
      <c r="P56" s="76">
        <f t="shared" si="6"/>
        <v>0.87560388780013176</v>
      </c>
      <c r="Q56" s="76">
        <f t="shared" si="7"/>
        <v>0.8903100760379723</v>
      </c>
      <c r="R56" s="80">
        <f t="shared" si="8"/>
        <v>1.1179391591933732</v>
      </c>
      <c r="S56" s="130">
        <f t="shared" si="9"/>
        <v>0.98247948901812077</v>
      </c>
    </row>
    <row r="57" spans="1:19" x14ac:dyDescent="0.4">
      <c r="A57">
        <f t="shared" si="4"/>
        <v>2025</v>
      </c>
      <c r="B57" s="62">
        <f t="shared" si="10"/>
        <v>45809</v>
      </c>
      <c r="C57" s="64">
        <f>SUMIFS(tbl_rep_mon[net_sales],tbl_rep_mon[region_id],C$3,tbl_rep_mon[month_start],$B57)</f>
        <v>398655.45999999996</v>
      </c>
      <c r="D57" s="64">
        <f>SUMIFS(tbl_rep_mon[net_sales],tbl_rep_mon[region_id],D$3,tbl_rep_mon[month_start],$B57)</f>
        <v>478089.31999999995</v>
      </c>
      <c r="E57" s="64">
        <f>SUMIFS(tbl_rep_mon[net_sales],tbl_rep_mon[region_id],E$3,tbl_rep_mon[month_start],$B57)</f>
        <v>412712.71</v>
      </c>
      <c r="F57" s="65">
        <f>SUMIFS(tbl_rep_mon[net_sales],tbl_rep_mon[region_id],F$3,tbl_rep_mon[month_start],$B57)</f>
        <v>669657.18999999994</v>
      </c>
      <c r="H57" s="62">
        <f t="shared" si="11"/>
        <v>45809</v>
      </c>
      <c r="I57" s="71">
        <f t="shared" si="13"/>
        <v>303612.92599999998</v>
      </c>
      <c r="J57" s="64">
        <f t="shared" si="14"/>
        <v>551491.47</v>
      </c>
      <c r="K57" s="64">
        <f t="shared" si="15"/>
        <v>496195.96249999997</v>
      </c>
      <c r="L57" s="65">
        <f t="shared" si="16"/>
        <v>693439.04049999989</v>
      </c>
      <c r="N57" s="74">
        <f t="shared" si="12"/>
        <v>45809</v>
      </c>
      <c r="O57" s="79">
        <f t="shared" si="5"/>
        <v>1.3130384969182767</v>
      </c>
      <c r="P57" s="76">
        <f t="shared" si="6"/>
        <v>0.86690247448432878</v>
      </c>
      <c r="Q57" s="76">
        <f t="shared" si="7"/>
        <v>0.83175346272592865</v>
      </c>
      <c r="R57" s="80">
        <f t="shared" si="8"/>
        <v>0.96570448285857657</v>
      </c>
      <c r="S57" s="130">
        <f t="shared" si="9"/>
        <v>0.95812438541465217</v>
      </c>
    </row>
    <row r="58" spans="1:19" x14ac:dyDescent="0.4">
      <c r="A58">
        <f t="shared" si="4"/>
        <v>2025</v>
      </c>
      <c r="B58" s="62">
        <f t="shared" si="10"/>
        <v>45839</v>
      </c>
      <c r="C58" s="64">
        <f>SUMIFS(tbl_rep_mon[net_sales],tbl_rep_mon[region_id],C$3,tbl_rep_mon[month_start],$B58)</f>
        <v>346068.14</v>
      </c>
      <c r="D58" s="64">
        <f>SUMIFS(tbl_rep_mon[net_sales],tbl_rep_mon[region_id],D$3,tbl_rep_mon[month_start],$B58)</f>
        <v>498219.16000000003</v>
      </c>
      <c r="E58" s="64">
        <f>SUMIFS(tbl_rep_mon[net_sales],tbl_rep_mon[region_id],E$3,tbl_rep_mon[month_start],$B58)</f>
        <v>424948.29000000004</v>
      </c>
      <c r="F58" s="65">
        <f>SUMIFS(tbl_rep_mon[net_sales],tbl_rep_mon[region_id],F$3,tbl_rep_mon[month_start],$B58)</f>
        <v>671535.33</v>
      </c>
      <c r="H58" s="62">
        <f t="shared" si="11"/>
        <v>45839</v>
      </c>
      <c r="I58" s="71">
        <f t="shared" si="13"/>
        <v>301877.86349999998</v>
      </c>
      <c r="J58" s="64">
        <f t="shared" si="14"/>
        <v>457577.81249999994</v>
      </c>
      <c r="K58" s="64">
        <f t="shared" si="15"/>
        <v>492081.43500000006</v>
      </c>
      <c r="L58" s="65">
        <f t="shared" si="16"/>
        <v>716068.2919999999</v>
      </c>
      <c r="N58" s="74">
        <f t="shared" si="12"/>
        <v>45839</v>
      </c>
      <c r="O58" s="79">
        <f t="shared" si="5"/>
        <v>1.1463846205470447</v>
      </c>
      <c r="P58" s="76">
        <f t="shared" si="6"/>
        <v>1.088818440033082</v>
      </c>
      <c r="Q58" s="76">
        <f t="shared" si="7"/>
        <v>0.86357309944033955</v>
      </c>
      <c r="R58" s="80">
        <f t="shared" si="8"/>
        <v>0.93780905746347454</v>
      </c>
      <c r="S58" s="130">
        <f t="shared" si="9"/>
        <v>0.98636185743387084</v>
      </c>
    </row>
    <row r="59" spans="1:19" x14ac:dyDescent="0.4">
      <c r="A59">
        <f t="shared" si="4"/>
        <v>2025</v>
      </c>
      <c r="B59" s="62">
        <f t="shared" si="10"/>
        <v>45870</v>
      </c>
      <c r="C59" s="64">
        <f>SUMIFS(tbl_rep_mon[net_sales],tbl_rep_mon[region_id],C$3,tbl_rep_mon[month_start],$B59)</f>
        <v>286762.39</v>
      </c>
      <c r="D59" s="64">
        <f>SUMIFS(tbl_rep_mon[net_sales],tbl_rep_mon[region_id],D$3,tbl_rep_mon[month_start],$B59)</f>
        <v>450688.49</v>
      </c>
      <c r="E59" s="64">
        <f>SUMIFS(tbl_rep_mon[net_sales],tbl_rep_mon[region_id],E$3,tbl_rep_mon[month_start],$B59)</f>
        <v>450161.76</v>
      </c>
      <c r="F59" s="65">
        <f>SUMIFS(tbl_rep_mon[net_sales],tbl_rep_mon[region_id],F$3,tbl_rep_mon[month_start],$B59)</f>
        <v>611949.30000000005</v>
      </c>
      <c r="H59" s="62">
        <f t="shared" si="11"/>
        <v>45870</v>
      </c>
      <c r="I59" s="71">
        <f t="shared" si="13"/>
        <v>307976.946</v>
      </c>
      <c r="J59" s="64">
        <f t="shared" si="14"/>
        <v>516034.33649999998</v>
      </c>
      <c r="K59" s="64">
        <f t="shared" si="15"/>
        <v>435707.35399999999</v>
      </c>
      <c r="L59" s="65">
        <f t="shared" si="16"/>
        <v>671191.73849999998</v>
      </c>
      <c r="N59" s="74">
        <f t="shared" si="12"/>
        <v>45870</v>
      </c>
      <c r="O59" s="79">
        <f t="shared" si="5"/>
        <v>0.93111641544753809</v>
      </c>
      <c r="P59" s="76">
        <f t="shared" si="6"/>
        <v>0.87336918906751859</v>
      </c>
      <c r="Q59" s="76">
        <f t="shared" si="7"/>
        <v>1.0331745743267855</v>
      </c>
      <c r="R59" s="80">
        <f t="shared" si="8"/>
        <v>0.91173544741120216</v>
      </c>
      <c r="S59" s="130">
        <f t="shared" si="9"/>
        <v>0.93197590281734344</v>
      </c>
    </row>
    <row r="60" spans="1:19" x14ac:dyDescent="0.4">
      <c r="A60">
        <f t="shared" si="4"/>
        <v>2025</v>
      </c>
      <c r="B60" s="62">
        <f t="shared" si="10"/>
        <v>45901</v>
      </c>
      <c r="C60" s="64">
        <f>SUMIFS(tbl_rep_mon[net_sales],tbl_rep_mon[region_id],C$3,tbl_rep_mon[month_start],$B60)</f>
        <v>288320.96000000002</v>
      </c>
      <c r="D60" s="64">
        <f>SUMIFS(tbl_rep_mon[net_sales],tbl_rep_mon[region_id],D$3,tbl_rep_mon[month_start],$B60)</f>
        <v>464270.68</v>
      </c>
      <c r="E60" s="64">
        <f>SUMIFS(tbl_rep_mon[net_sales],tbl_rep_mon[region_id],E$3,tbl_rep_mon[month_start],$B60)</f>
        <v>331617.11</v>
      </c>
      <c r="F60" s="65">
        <f>SUMIFS(tbl_rep_mon[net_sales],tbl_rep_mon[region_id],F$3,tbl_rep_mon[month_start],$B60)</f>
        <v>575838.96</v>
      </c>
      <c r="H60" s="62">
        <f t="shared" si="11"/>
        <v>45901</v>
      </c>
      <c r="I60" s="71">
        <f t="shared" si="13"/>
        <v>336980.60149999993</v>
      </c>
      <c r="J60" s="64">
        <f t="shared" si="14"/>
        <v>517912.19449999993</v>
      </c>
      <c r="K60" s="64">
        <f t="shared" si="15"/>
        <v>372859.61249999999</v>
      </c>
      <c r="L60" s="65">
        <f t="shared" si="16"/>
        <v>633276.33049999992</v>
      </c>
      <c r="N60" s="74">
        <f t="shared" si="12"/>
        <v>45901</v>
      </c>
      <c r="O60" s="79">
        <f t="shared" si="5"/>
        <v>0.8556010604663844</v>
      </c>
      <c r="P60" s="76">
        <f t="shared" si="6"/>
        <v>0.89642739624660461</v>
      </c>
      <c r="Q60" s="76">
        <f t="shared" si="7"/>
        <v>0.88938865697072511</v>
      </c>
      <c r="R60" s="80">
        <f t="shared" si="8"/>
        <v>0.90930125170689613</v>
      </c>
      <c r="S60" s="130">
        <f t="shared" si="9"/>
        <v>0.89200541357142371</v>
      </c>
    </row>
    <row r="61" spans="1:19" x14ac:dyDescent="0.4">
      <c r="A61">
        <f t="shared" si="4"/>
        <v>2025</v>
      </c>
      <c r="B61" s="62">
        <f t="shared" si="10"/>
        <v>45931</v>
      </c>
      <c r="C61" s="64">
        <f>SUMIFS(tbl_rep_mon[net_sales],tbl_rep_mon[region_id],C$3,tbl_rep_mon[month_start],$B61)</f>
        <v>322802.67000000004</v>
      </c>
      <c r="D61" s="64">
        <f>SUMIFS(tbl_rep_mon[net_sales],tbl_rep_mon[region_id],D$3,tbl_rep_mon[month_start],$B61)</f>
        <v>466535.44000000006</v>
      </c>
      <c r="E61" s="64">
        <f>SUMIFS(tbl_rep_mon[net_sales],tbl_rep_mon[region_id],E$3,tbl_rep_mon[month_start],$B61)</f>
        <v>406268.66</v>
      </c>
      <c r="F61" s="65">
        <f>SUMIFS(tbl_rep_mon[net_sales],tbl_rep_mon[region_id],F$3,tbl_rep_mon[month_start],$B61)</f>
        <v>609156.22</v>
      </c>
      <c r="H61" s="62">
        <f t="shared" si="11"/>
        <v>45931</v>
      </c>
      <c r="I61" s="71">
        <f t="shared" si="13"/>
        <v>297391.62150000001</v>
      </c>
      <c r="J61" s="64">
        <f t="shared" si="14"/>
        <v>459738.3175</v>
      </c>
      <c r="K61" s="64">
        <f t="shared" si="15"/>
        <v>435535.95799999993</v>
      </c>
      <c r="L61" s="65">
        <f t="shared" si="16"/>
        <v>578370.5349999998</v>
      </c>
      <c r="N61" s="74">
        <f t="shared" si="12"/>
        <v>45931</v>
      </c>
      <c r="O61" s="79">
        <f t="shared" si="5"/>
        <v>1.0854464169899287</v>
      </c>
      <c r="P61" s="76">
        <f t="shared" si="6"/>
        <v>1.014784763943458</v>
      </c>
      <c r="Q61" s="76">
        <f t="shared" si="7"/>
        <v>0.93280164941054089</v>
      </c>
      <c r="R61" s="80">
        <f t="shared" si="8"/>
        <v>1.053228308043044</v>
      </c>
      <c r="S61" s="130">
        <f t="shared" si="9"/>
        <v>1.0190434015871224</v>
      </c>
    </row>
    <row r="62" spans="1:19" x14ac:dyDescent="0.4">
      <c r="A62">
        <f t="shared" si="4"/>
        <v>2025</v>
      </c>
      <c r="B62" s="62">
        <f t="shared" si="10"/>
        <v>45962</v>
      </c>
      <c r="C62" s="64">
        <f>SUMIFS(tbl_rep_mon[net_sales],tbl_rep_mon[region_id],C$3,tbl_rep_mon[month_start],$B62)</f>
        <v>255412.71</v>
      </c>
      <c r="D62" s="64">
        <f>SUMIFS(tbl_rep_mon[net_sales],tbl_rep_mon[region_id],D$3,tbl_rep_mon[month_start],$B62)</f>
        <v>361496.17000000004</v>
      </c>
      <c r="E62" s="64">
        <f>SUMIFS(tbl_rep_mon[net_sales],tbl_rep_mon[region_id],E$3,tbl_rep_mon[month_start],$B62)</f>
        <v>384783.63999999996</v>
      </c>
      <c r="F62" s="65">
        <f>SUMIFS(tbl_rep_mon[net_sales],tbl_rep_mon[region_id],F$3,tbl_rep_mon[month_start],$B62)</f>
        <v>532199.47</v>
      </c>
      <c r="H62" s="62">
        <f t="shared" si="11"/>
        <v>45962</v>
      </c>
      <c r="I62" s="71">
        <f t="shared" si="13"/>
        <v>221084.924</v>
      </c>
      <c r="J62" s="64">
        <f t="shared" si="14"/>
        <v>418044.66499999992</v>
      </c>
      <c r="K62" s="64">
        <f t="shared" si="15"/>
        <v>328504.61849999998</v>
      </c>
      <c r="L62" s="65">
        <f t="shared" si="16"/>
        <v>599240.79249999998</v>
      </c>
      <c r="N62" s="74">
        <f t="shared" si="12"/>
        <v>45962</v>
      </c>
      <c r="O62" s="79">
        <f t="shared" si="5"/>
        <v>1.1552696827034665</v>
      </c>
      <c r="P62" s="76">
        <f t="shared" si="6"/>
        <v>0.86473097318440872</v>
      </c>
      <c r="Q62" s="76">
        <f t="shared" si="7"/>
        <v>1.1713188135892219</v>
      </c>
      <c r="R62" s="80">
        <f t="shared" si="8"/>
        <v>0.88812289927675436</v>
      </c>
      <c r="S62" s="130">
        <f t="shared" si="9"/>
        <v>0.97894981412046267</v>
      </c>
    </row>
    <row r="63" spans="1:19" ht="15" thickBot="1" x14ac:dyDescent="0.45">
      <c r="A63">
        <f t="shared" si="4"/>
        <v>2025</v>
      </c>
      <c r="B63" s="63">
        <f t="shared" si="10"/>
        <v>45992</v>
      </c>
      <c r="C63" s="66">
        <f>SUMIFS(tbl_rep_mon[net_sales],tbl_rep_mon[region_id],C$3,tbl_rep_mon[month_start],$B63)</f>
        <v>281359.09999999998</v>
      </c>
      <c r="D63" s="66">
        <f>SUMIFS(tbl_rep_mon[net_sales],tbl_rep_mon[region_id],D$3,tbl_rep_mon[month_start],$B63)</f>
        <v>473060.2</v>
      </c>
      <c r="E63" s="66">
        <f>SUMIFS(tbl_rep_mon[net_sales],tbl_rep_mon[region_id],E$3,tbl_rep_mon[month_start],$B63)</f>
        <v>387906.1</v>
      </c>
      <c r="F63" s="67">
        <f>SUMIFS(tbl_rep_mon[net_sales],tbl_rep_mon[region_id],F$3,tbl_rep_mon[month_start],$B63)</f>
        <v>545278.36</v>
      </c>
      <c r="H63" s="63">
        <f t="shared" si="11"/>
        <v>45992</v>
      </c>
      <c r="I63" s="72">
        <f t="shared" si="13"/>
        <v>255894.35449999996</v>
      </c>
      <c r="J63" s="66">
        <f t="shared" si="14"/>
        <v>453531.64099999995</v>
      </c>
      <c r="K63" s="66">
        <f t="shared" si="15"/>
        <v>234618.92899999997</v>
      </c>
      <c r="L63" s="67">
        <f t="shared" si="16"/>
        <v>530050.68599999999</v>
      </c>
      <c r="N63" s="75">
        <f t="shared" si="12"/>
        <v>45992</v>
      </c>
      <c r="O63" s="81">
        <f t="shared" si="5"/>
        <v>1.0995127287968365</v>
      </c>
      <c r="P63" s="82">
        <f t="shared" si="6"/>
        <v>1.0430588678596739</v>
      </c>
      <c r="Q63" s="82">
        <f t="shared" si="7"/>
        <v>1.6533452848555115</v>
      </c>
      <c r="R63" s="83">
        <f t="shared" si="8"/>
        <v>1.0287287129367095</v>
      </c>
      <c r="S63" s="131">
        <f t="shared" si="9"/>
        <v>1.1448400958385458</v>
      </c>
    </row>
    <row r="64" spans="1:19" x14ac:dyDescent="0.4">
      <c r="B64" s="1"/>
    </row>
  </sheetData>
  <conditionalFormatting sqref="O4:S63">
    <cfRule type="cellIs" dxfId="5" priority="5" operator="lessThan">
      <formula>1</formula>
    </cfRule>
  </conditionalFormatting>
  <conditionalFormatting sqref="V4:Z8">
    <cfRule type="cellIs" dxfId="4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A01A-8E19-42F8-B1A5-457A1DB0A729}">
  <dimension ref="A1:H8"/>
  <sheetViews>
    <sheetView workbookViewId="0">
      <selection activeCell="D3" sqref="D3"/>
    </sheetView>
  </sheetViews>
  <sheetFormatPr defaultRowHeight="14.6" x14ac:dyDescent="0.4"/>
  <cols>
    <col min="1" max="1" width="16.15234375" customWidth="1"/>
    <col min="2" max="2" width="12.69140625" customWidth="1"/>
    <col min="3" max="3" width="12.15234375" bestFit="1" customWidth="1"/>
    <col min="4" max="4" width="10.61328125" customWidth="1"/>
    <col min="6" max="6" width="10.15234375" bestFit="1" customWidth="1"/>
    <col min="7" max="7" width="12.15234375" bestFit="1" customWidth="1"/>
    <col min="8" max="8" width="24.765625" customWidth="1"/>
  </cols>
  <sheetData>
    <row r="1" spans="1:8" s="52" customFormat="1" ht="61.85" customHeight="1" thickBot="1" x14ac:dyDescent="0.45">
      <c r="A1" s="55" t="s">
        <v>83</v>
      </c>
      <c r="B1" s="53" t="s">
        <v>88</v>
      </c>
      <c r="C1" s="53" t="s">
        <v>89</v>
      </c>
      <c r="D1" s="53" t="s">
        <v>84</v>
      </c>
      <c r="E1" s="53" t="s">
        <v>85</v>
      </c>
      <c r="F1" s="53" t="s">
        <v>86</v>
      </c>
      <c r="G1" s="54" t="s">
        <v>87</v>
      </c>
    </row>
    <row r="2" spans="1:8" x14ac:dyDescent="0.4">
      <c r="A2" s="139">
        <f>INDEX(tier_floor,2)</f>
        <v>25000</v>
      </c>
      <c r="B2" s="68">
        <f>($A2)-($A2*Within_reach)</f>
        <v>23750</v>
      </c>
      <c r="C2" s="69">
        <f>($A2)+($A2*Within_reach)</f>
        <v>26250</v>
      </c>
      <c r="D2" s="3">
        <f>COUNTIFS(tbl_rep_mon[net_sales],"&gt;="&amp;$B2,tbl_rep_mon[net_sales],"&lt;"&amp;$A2)</f>
        <v>0</v>
      </c>
      <c r="E2" s="3">
        <f>COUNTIFS(tbl_rep_mon[net_sales],"&gt;="&amp;$A2,tbl_rep_mon[net_sales],"&lt;"&amp;$C2)</f>
        <v>2</v>
      </c>
      <c r="F2" s="69">
        <f>$A2*margin_rate*_xlfn.XLOOKUP($A2,tier_floor, step)</f>
        <v>1000.0000000000002</v>
      </c>
      <c r="G2" s="70">
        <f>$E2*$F2</f>
        <v>2000.0000000000005</v>
      </c>
    </row>
    <row r="3" spans="1:8" x14ac:dyDescent="0.4">
      <c r="A3" s="139">
        <f>INDEX(tier_floor,3)</f>
        <v>50000</v>
      </c>
      <c r="B3" s="71">
        <f>($A3)-($A3*Within_reach)</f>
        <v>47500</v>
      </c>
      <c r="C3" s="64">
        <f>($A3)+($A3*Within_reach)</f>
        <v>52500</v>
      </c>
      <c r="D3">
        <f>COUNTIFS(tbl_rep_mon[net_sales],"&gt;="&amp;$B3,tbl_rep_mon[net_sales],"&lt;"&amp;$A3)</f>
        <v>45</v>
      </c>
      <c r="E3">
        <f>COUNTIFS(tbl_rep_mon[net_sales],"&gt;="&amp;$A3,tbl_rep_mon[net_sales],"&lt;"&amp;$C3)</f>
        <v>57</v>
      </c>
      <c r="F3" s="64">
        <f>$A3*margin_rate*_xlfn.XLOOKUP($A3,tier_floor, step)</f>
        <v>2249.9999999999991</v>
      </c>
      <c r="G3" s="65">
        <f>$E3*$F3</f>
        <v>128249.99999999994</v>
      </c>
    </row>
    <row r="4" spans="1:8" x14ac:dyDescent="0.4">
      <c r="A4" s="139">
        <f>INDEX(tier_floor,4)</f>
        <v>75000</v>
      </c>
      <c r="B4" s="71">
        <f>($A4)-($A4*Within_reach)</f>
        <v>71250</v>
      </c>
      <c r="C4" s="64">
        <f>($A4)+($A4*Within_reach)</f>
        <v>78750</v>
      </c>
      <c r="D4">
        <f>COUNTIFS(tbl_rep_mon[net_sales],"&gt;="&amp;$B4,tbl_rep_mon[net_sales],"&lt;"&amp;$A4)</f>
        <v>75</v>
      </c>
      <c r="E4">
        <f>COUNTIFS(tbl_rep_mon[net_sales],"&gt;="&amp;$A4,tbl_rep_mon[net_sales],"&lt;"&amp;$C4)</f>
        <v>59</v>
      </c>
      <c r="F4" s="64">
        <f>$A4*margin_rate*_xlfn.XLOOKUP($A4,tier_floor, step)</f>
        <v>3375.0000000000009</v>
      </c>
      <c r="G4" s="65">
        <f>$E4*$F4</f>
        <v>199125.00000000006</v>
      </c>
    </row>
    <row r="5" spans="1:8" ht="15" thickBot="1" x14ac:dyDescent="0.45">
      <c r="A5" s="140">
        <f>INDEX(tier_floor,5)</f>
        <v>100000</v>
      </c>
      <c r="B5" s="72">
        <f>($A5)-($A5*Within_reach)</f>
        <v>95000</v>
      </c>
      <c r="C5" s="66">
        <f>($A5)+($A5*Within_reach)</f>
        <v>105000</v>
      </c>
      <c r="D5" s="8">
        <f>COUNTIFS(tbl_rep_mon[net_sales],"&gt;="&amp;$B5,tbl_rep_mon[net_sales],"&lt;"&amp;$A5)</f>
        <v>46</v>
      </c>
      <c r="E5" s="8">
        <f>COUNTIFS(tbl_rep_mon[net_sales],"&gt;="&amp;$A5,tbl_rep_mon[net_sales],"&lt;"&amp;$C5)</f>
        <v>27</v>
      </c>
      <c r="F5" s="66">
        <f>$A5*margin_rate*_xlfn.XLOOKUP($A5,tier_floor, step)</f>
        <v>4499.9999999999982</v>
      </c>
      <c r="G5" s="67">
        <f>$E5*$F5</f>
        <v>121499.99999999996</v>
      </c>
    </row>
    <row r="6" spans="1:8" ht="15" thickBot="1" x14ac:dyDescent="0.45">
      <c r="G6" s="141">
        <f>SUM(G2:G5)</f>
        <v>450874.99999999994</v>
      </c>
      <c r="H6" s="142" t="s">
        <v>135</v>
      </c>
    </row>
    <row r="7" spans="1:8" ht="15" thickBot="1" x14ac:dyDescent="0.45">
      <c r="G7" s="152">
        <f>$G6/SUM(tbl_rep_mon[overpay])</f>
        <v>8.2268953562631142E-2</v>
      </c>
      <c r="H7" s="153" t="s">
        <v>164</v>
      </c>
    </row>
    <row r="8" spans="1:8" x14ac:dyDescent="0.4">
      <c r="G8" s="3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33F4-FF70-48D3-A644-B96FFEDF9E10}">
  <dimension ref="A1:F28"/>
  <sheetViews>
    <sheetView zoomScale="81" workbookViewId="0">
      <selection activeCell="B14" sqref="B14"/>
    </sheetView>
  </sheetViews>
  <sheetFormatPr defaultRowHeight="14.6" x14ac:dyDescent="0.4"/>
  <cols>
    <col min="1" max="1" width="14.23046875" customWidth="1"/>
    <col min="2" max="4" width="16.53515625" customWidth="1"/>
    <col min="5" max="5" width="19" customWidth="1"/>
    <col min="6" max="6" width="13.765625" bestFit="1" customWidth="1"/>
  </cols>
  <sheetData>
    <row r="1" spans="1:6" ht="39.9" customHeight="1" thickBot="1" x14ac:dyDescent="0.6">
      <c r="A1" s="110" t="s">
        <v>99</v>
      </c>
      <c r="B1" s="111"/>
      <c r="C1" s="111"/>
      <c r="D1" s="111"/>
      <c r="E1" s="112"/>
    </row>
    <row r="2" spans="1:6" ht="15" thickBot="1" x14ac:dyDescent="0.45">
      <c r="A2" s="103" t="s">
        <v>66</v>
      </c>
      <c r="B2" s="56" t="s">
        <v>100</v>
      </c>
      <c r="C2" s="56" t="s">
        <v>101</v>
      </c>
      <c r="D2" s="56" t="s">
        <v>106</v>
      </c>
      <c r="E2" s="30" t="s">
        <v>102</v>
      </c>
    </row>
    <row r="3" spans="1:6" x14ac:dyDescent="0.4">
      <c r="A3" s="84">
        <v>2021</v>
      </c>
      <c r="B3" s="64">
        <f>SUMIFS(tbl_rep_mon[margin_dollars],tbl_rep_mon[year],$A3)</f>
        <v>6570372.3899999987</v>
      </c>
      <c r="C3" s="64">
        <f>SUMIFS(tbl_rep_mon[flat_commission],tbl_rep_mon[year],$A3)</f>
        <v>2665310.2890499993</v>
      </c>
      <c r="D3" s="64">
        <f>SUMIFS(tbl_rep_mon[indexed_commission],tbl_rep_mon[year],$A3)</f>
        <v>2665310.2890499993</v>
      </c>
      <c r="E3" s="65">
        <f>SUMIFS(tbl_rep_mon[marginal_commission],tbl_rep_mon[year],$A3)</f>
        <v>2023185.2890499989</v>
      </c>
      <c r="F3" s="37"/>
    </row>
    <row r="4" spans="1:6" x14ac:dyDescent="0.4">
      <c r="A4" s="84">
        <v>2022</v>
      </c>
      <c r="B4" s="64">
        <f>SUMIFS(tbl_rep_mon[margin_dollars],tbl_rep_mon[year],$A4)</f>
        <v>7353885.0699999966</v>
      </c>
      <c r="C4" s="64">
        <f>SUMIFS(tbl_rep_mon[flat_commission],tbl_rep_mon[year],$A4)</f>
        <v>3217355.9541499987</v>
      </c>
      <c r="D4" s="64">
        <f>SUMIFS(tbl_rep_mon[indexed_commission],tbl_rep_mon[year],$A4)</f>
        <v>2964587.7543499982</v>
      </c>
      <c r="E4" s="65">
        <f>SUMIFS(tbl_rep_mon[marginal_commission],tbl_rep_mon[year],$A4)</f>
        <v>2367980.9541499987</v>
      </c>
    </row>
    <row r="5" spans="1:6" x14ac:dyDescent="0.4">
      <c r="A5" s="84">
        <v>2023</v>
      </c>
      <c r="B5" s="64">
        <f>SUMIFS(tbl_rep_mon[margin_dollars],tbl_rep_mon[year],$A5)</f>
        <v>8493733.7949999999</v>
      </c>
      <c r="C5" s="64">
        <f>SUMIFS(tbl_rep_mon[flat_commission],tbl_rep_mon[year],$A5)</f>
        <v>3938872.2248500008</v>
      </c>
      <c r="D5" s="64">
        <f>SUMIFS(tbl_rep_mon[indexed_commission],tbl_rep_mon[year],$A5)</f>
        <v>3378748.4967499999</v>
      </c>
      <c r="E5" s="65">
        <f>SUMIFS(tbl_rep_mon[marginal_commission],tbl_rep_mon[year],$A5)</f>
        <v>2861622.2248500013</v>
      </c>
    </row>
    <row r="6" spans="1:6" x14ac:dyDescent="0.4">
      <c r="A6" s="84">
        <v>2024</v>
      </c>
      <c r="B6" s="64">
        <f>SUMIFS(tbl_rep_mon[margin_dollars],tbl_rep_mon[year],$A6)</f>
        <v>9573098.1649999991</v>
      </c>
      <c r="C6" s="64">
        <f>SUMIFS(tbl_rep_mon[flat_commission],tbl_rep_mon[year],$A6)</f>
        <v>4742325.9860999985</v>
      </c>
      <c r="D6" s="64">
        <f>SUMIFS(tbl_rep_mon[indexed_commission],tbl_rep_mon[year],$A6)</f>
        <v>3806885.2644500006</v>
      </c>
      <c r="E6" s="65">
        <f>SUMIFS(tbl_rep_mon[marginal_commission],tbl_rep_mon[year],$A6)</f>
        <v>3402950.9860999994</v>
      </c>
    </row>
    <row r="7" spans="1:6" ht="15" thickBot="1" x14ac:dyDescent="0.45">
      <c r="A7" s="84">
        <v>2025</v>
      </c>
      <c r="B7" s="64">
        <f>SUMIFS(tbl_rep_mon[margin_dollars],tbl_rep_mon[year],$A7)</f>
        <v>10671237.940000003</v>
      </c>
      <c r="C7" s="64">
        <f>SUMIFS(tbl_rep_mon[flat_commission],tbl_rep_mon[year],$A7)</f>
        <v>5547985.6077999994</v>
      </c>
      <c r="D7" s="64">
        <f>SUMIFS(tbl_rep_mon[indexed_commission],tbl_rep_mon[year],$A7)</f>
        <v>4204746.6039999984</v>
      </c>
      <c r="E7" s="65">
        <f>SUMIFS(tbl_rep_mon[marginal_commission],tbl_rep_mon[year],$A7)</f>
        <v>3975610.6078000017</v>
      </c>
    </row>
    <row r="8" spans="1:6" ht="15" thickBot="1" x14ac:dyDescent="0.45">
      <c r="A8" s="103" t="s">
        <v>103</v>
      </c>
      <c r="B8" s="104">
        <f>SUM($B3:$B7)</f>
        <v>42662327.359999999</v>
      </c>
      <c r="C8" s="104">
        <f>SUM(C3:C7)</f>
        <v>20111850.061949998</v>
      </c>
      <c r="D8" s="104">
        <f>SUM(D3:D7)</f>
        <v>17020278.408599995</v>
      </c>
      <c r="E8" s="105">
        <f>SUM(E3:E7)</f>
        <v>14631350.06195</v>
      </c>
    </row>
    <row r="10" spans="1:6" ht="15" thickBot="1" x14ac:dyDescent="0.45"/>
    <row r="11" spans="1:6" ht="39" customHeight="1" thickBot="1" x14ac:dyDescent="0.6">
      <c r="A11" s="110" t="s">
        <v>107</v>
      </c>
      <c r="B11" s="111"/>
      <c r="C11" s="111"/>
      <c r="D11" s="112"/>
    </row>
    <row r="12" spans="1:6" ht="15" thickBot="1" x14ac:dyDescent="0.45">
      <c r="A12" s="103" t="s">
        <v>66</v>
      </c>
      <c r="B12" s="56" t="s">
        <v>104</v>
      </c>
      <c r="C12" s="56" t="s">
        <v>106</v>
      </c>
      <c r="D12" s="30" t="s">
        <v>102</v>
      </c>
    </row>
    <row r="13" spans="1:6" x14ac:dyDescent="0.4">
      <c r="A13" s="84">
        <v>2021</v>
      </c>
      <c r="B13" s="106">
        <f>SUMIFS(tbl_rep_mon[flat_commission],tbl_rep_mon[year],$A13)/SUMIFS(tbl_rep_mon[margin_dollars],tbl_rep_mon[year],$A13)</f>
        <v>0.40565589449793726</v>
      </c>
      <c r="C13" s="106">
        <f>SUMIFS(tbl_rep_mon[indexed_commission],tbl_rep_mon[year],$A13)/SUMIFS(tbl_rep_mon[margin_dollars],tbl_rep_mon[year],$A13)</f>
        <v>0.40565589449793726</v>
      </c>
      <c r="D13" s="107">
        <f>SUMIFS(tbl_rep_mon[marginal_commission],tbl_rep_mon[year],$A13)/SUMIFS(tbl_rep_mon[margin_dollars],tbl_rep_mon[year],$A13)</f>
        <v>0.3079255130392996</v>
      </c>
      <c r="E13" s="106"/>
    </row>
    <row r="14" spans="1:6" x14ac:dyDescent="0.4">
      <c r="A14" s="84">
        <v>2022</v>
      </c>
      <c r="B14" s="106">
        <f>SUMIFS(tbl_rep_mon[flat_commission],tbl_rep_mon[year],$A14)/SUMIFS(tbl_rep_mon[margin_dollars],tbl_rep_mon[year],$A14)</f>
        <v>0.43750424755414352</v>
      </c>
      <c r="C14" s="106">
        <f>SUMIFS(tbl_rep_mon[indexed_commission],tbl_rep_mon[year],$A14)/SUMIFS(tbl_rep_mon[margin_dollars],tbl_rep_mon[year],$A14)</f>
        <v>0.4031321847065526</v>
      </c>
      <c r="D14" s="107">
        <f>SUMIFS(tbl_rep_mon[marginal_commission],tbl_rep_mon[year],$A14)/SUMIFS(tbl_rep_mon[margin_dollars],tbl_rep_mon[year],$A14)</f>
        <v>0.32200407425594968</v>
      </c>
      <c r="E14" s="106"/>
    </row>
    <row r="15" spans="1:6" x14ac:dyDescent="0.4">
      <c r="A15" s="84">
        <v>2023</v>
      </c>
      <c r="B15" s="106">
        <f>SUMIFS(tbl_rep_mon[flat_commission],tbl_rep_mon[year],$A15)/SUMIFS(tbl_rep_mon[margin_dollars],tbl_rep_mon[year],$A15)</f>
        <v>0.463738600704521</v>
      </c>
      <c r="C15" s="106">
        <f>SUMIFS(tbl_rep_mon[indexed_commission],tbl_rep_mon[year],$A15)/SUMIFS(tbl_rep_mon[margin_dollars],tbl_rep_mon[year],$A15)</f>
        <v>0.39779307643700412</v>
      </c>
      <c r="D15" s="107">
        <f>SUMIFS(tbl_rep_mon[marginal_commission],tbl_rep_mon[year],$A15)/SUMIFS(tbl_rep_mon[margin_dollars],tbl_rep_mon[year],$A15)</f>
        <v>0.33690980832652778</v>
      </c>
      <c r="E15" s="106"/>
    </row>
    <row r="16" spans="1:6" x14ac:dyDescent="0.4">
      <c r="A16" s="84">
        <v>2024</v>
      </c>
      <c r="B16" s="106">
        <f>SUMIFS(tbl_rep_mon[flat_commission],tbl_rep_mon[year],$A16)/SUMIFS(tbl_rep_mon[margin_dollars],tbl_rep_mon[year],$A16)</f>
        <v>0.49538048230178144</v>
      </c>
      <c r="C16" s="106">
        <f>SUMIFS(tbl_rep_mon[indexed_commission],tbl_rep_mon[year],$A16)/SUMIFS(tbl_rep_mon[margin_dollars],tbl_rep_mon[year],$A16)</f>
        <v>0.39766491462171283</v>
      </c>
      <c r="D16" s="107">
        <f>SUMIFS(tbl_rep_mon[marginal_commission],tbl_rep_mon[year],$A16)/SUMIFS(tbl_rep_mon[margin_dollars],tbl_rep_mon[year],$A16)</f>
        <v>0.35547018608264735</v>
      </c>
      <c r="E16" s="106"/>
    </row>
    <row r="17" spans="1:5" ht="15" thickBot="1" x14ac:dyDescent="0.45">
      <c r="A17" s="61">
        <v>2025</v>
      </c>
      <c r="B17" s="114">
        <f>SUMIFS(tbl_rep_mon[flat_commission],tbl_rep_mon[year],$A17)/SUMIFS(tbl_rep_mon[margin_dollars],tbl_rep_mon[year],$A17)</f>
        <v>0.51990084365038514</v>
      </c>
      <c r="C17" s="106">
        <f>SUMIFS(tbl_rep_mon[indexed_commission],tbl_rep_mon[year],$A17)/SUMIFS(tbl_rep_mon[margin_dollars],tbl_rep_mon[year],$A17)</f>
        <v>0.39402613151740828</v>
      </c>
      <c r="D17" s="107">
        <f>SUMIFS(tbl_rep_mon[marginal_commission],tbl_rep_mon[year],$A17)/SUMIFS(tbl_rep_mon[margin_dollars],tbl_rep_mon[year],$A17)</f>
        <v>0.37255383397439273</v>
      </c>
      <c r="E17" s="106"/>
    </row>
    <row r="18" spans="1:5" ht="15" thickBot="1" x14ac:dyDescent="0.45">
      <c r="A18" s="103" t="s">
        <v>103</v>
      </c>
      <c r="B18" s="108" cm="1">
        <f t="array" ref="B18">SUM((tbl_rep_mon[flat_commission])/SUM(tbl_rep_mon[margin_dollars]))</f>
        <v>0.47141943036157047</v>
      </c>
      <c r="C18" s="108">
        <f>SUM(tbl_rep_mon[indexed_commission])/SUM(tbl_rep_mon[margin_dollars])</f>
        <v>0.39895334975461649</v>
      </c>
      <c r="D18" s="109">
        <f>SUM(tbl_rep_mon[marginal_commission])/SUM(tbl_rep_mon[margin_dollars])</f>
        <v>0.34295714667616356</v>
      </c>
      <c r="E18" s="106"/>
    </row>
    <row r="20" spans="1:5" ht="15" thickBot="1" x14ac:dyDescent="0.45"/>
    <row r="21" spans="1:5" ht="34.75" customHeight="1" thickBot="1" x14ac:dyDescent="0.6">
      <c r="A21" s="110" t="s">
        <v>105</v>
      </c>
      <c r="B21" s="115"/>
      <c r="C21" s="111"/>
      <c r="D21" s="117"/>
      <c r="E21" s="116"/>
    </row>
    <row r="22" spans="1:5" ht="15" thickBot="1" x14ac:dyDescent="0.45">
      <c r="A22" s="102" t="s">
        <v>66</v>
      </c>
      <c r="B22" s="102" t="s">
        <v>108</v>
      </c>
      <c r="C22" s="56" t="s">
        <v>109</v>
      </c>
      <c r="D22" s="8" t="s">
        <v>102</v>
      </c>
      <c r="E22" s="9" t="s">
        <v>110</v>
      </c>
    </row>
    <row r="23" spans="1:5" x14ac:dyDescent="0.4">
      <c r="A23" s="5">
        <v>2021</v>
      </c>
      <c r="B23" s="68">
        <f t="shared" ref="B23:B28" si="0">$C3-$D3</f>
        <v>0</v>
      </c>
      <c r="C23" s="143">
        <f t="shared" ref="C23:C28" si="1">(($C3-$D3)/$C3)</f>
        <v>0</v>
      </c>
      <c r="D23" s="69">
        <f t="shared" ref="D23:D28" si="2">$C3-$E3</f>
        <v>642125.00000000047</v>
      </c>
      <c r="E23" s="113">
        <f t="shared" ref="E23:E28" si="3">(($C3-$E3)/$C3)</f>
        <v>0.24091941663905633</v>
      </c>
    </row>
    <row r="24" spans="1:5" x14ac:dyDescent="0.4">
      <c r="A24" s="5">
        <v>2022</v>
      </c>
      <c r="B24" s="71">
        <f t="shared" si="0"/>
        <v>252768.19980000053</v>
      </c>
      <c r="C24" s="106">
        <f t="shared" si="1"/>
        <v>7.8563952326742154E-2</v>
      </c>
      <c r="D24" s="64">
        <f t="shared" si="2"/>
        <v>849375</v>
      </c>
      <c r="E24" s="107">
        <f t="shared" si="3"/>
        <v>0.26399783303566687</v>
      </c>
    </row>
    <row r="25" spans="1:5" x14ac:dyDescent="0.4">
      <c r="A25" s="5">
        <v>2023</v>
      </c>
      <c r="B25" s="71">
        <f t="shared" si="0"/>
        <v>560123.72810000088</v>
      </c>
      <c r="C25" s="106">
        <f t="shared" si="1"/>
        <v>0.14220408688716257</v>
      </c>
      <c r="D25" s="64">
        <f t="shared" si="2"/>
        <v>1077249.9999999995</v>
      </c>
      <c r="E25" s="107">
        <f t="shared" si="3"/>
        <v>0.27349198920536782</v>
      </c>
    </row>
    <row r="26" spans="1:5" x14ac:dyDescent="0.4">
      <c r="A26" s="5">
        <v>2024</v>
      </c>
      <c r="B26" s="71">
        <f t="shared" si="0"/>
        <v>935440.72164999787</v>
      </c>
      <c r="C26" s="106">
        <f t="shared" si="1"/>
        <v>0.19725356805749389</v>
      </c>
      <c r="D26" s="64">
        <f t="shared" si="2"/>
        <v>1339374.9999999991</v>
      </c>
      <c r="E26" s="107">
        <f t="shared" si="3"/>
        <v>0.28242997295541811</v>
      </c>
    </row>
    <row r="27" spans="1:5" ht="15" thickBot="1" x14ac:dyDescent="0.45">
      <c r="A27" s="7">
        <v>2025</v>
      </c>
      <c r="B27" s="71">
        <f t="shared" si="0"/>
        <v>1343239.003800001</v>
      </c>
      <c r="C27" s="106">
        <f t="shared" si="1"/>
        <v>0.24211292147397073</v>
      </c>
      <c r="D27" s="64">
        <f t="shared" si="2"/>
        <v>1572374.9999999977</v>
      </c>
      <c r="E27" s="107">
        <f t="shared" si="3"/>
        <v>0.28341367681079976</v>
      </c>
    </row>
    <row r="28" spans="1:5" ht="15" thickBot="1" x14ac:dyDescent="0.45">
      <c r="A28" s="102" t="s">
        <v>103</v>
      </c>
      <c r="B28" s="144">
        <f t="shared" si="0"/>
        <v>3091571.6533500031</v>
      </c>
      <c r="C28" s="108">
        <f t="shared" si="1"/>
        <v>0.15371890919170125</v>
      </c>
      <c r="D28" s="104">
        <f t="shared" si="2"/>
        <v>5480499.9999999981</v>
      </c>
      <c r="E28" s="109">
        <f t="shared" si="3"/>
        <v>0.27250103710591317</v>
      </c>
    </row>
  </sheetData>
  <conditionalFormatting sqref="B13:D18">
    <cfRule type="cellIs" dxfId="3" priority="1" operator="greaterThan">
      <formula>warning_level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E850-39E1-48FE-83C9-724554365762}">
  <dimension ref="A1:G10"/>
  <sheetViews>
    <sheetView topLeftCell="A2" zoomScale="137" zoomScaleNormal="60" workbookViewId="0">
      <selection activeCell="D8" sqref="D8"/>
    </sheetView>
  </sheetViews>
  <sheetFormatPr defaultRowHeight="14.6" x14ac:dyDescent="0.4"/>
  <cols>
    <col min="1" max="1" width="18.53515625" customWidth="1"/>
    <col min="2" max="2" width="21.84375" customWidth="1"/>
    <col min="3" max="3" width="18.765625" customWidth="1"/>
    <col min="4" max="4" width="37.53515625" customWidth="1"/>
    <col min="5" max="5" width="18.69140625" customWidth="1"/>
    <col min="6" max="6" width="17.765625" customWidth="1"/>
    <col min="7" max="7" width="10.3046875" customWidth="1"/>
  </cols>
  <sheetData>
    <row r="1" spans="1:7" ht="43.3" customHeight="1" x14ac:dyDescent="0.65">
      <c r="A1" s="118" t="s">
        <v>111</v>
      </c>
      <c r="B1" s="119"/>
      <c r="C1" s="120"/>
      <c r="D1" s="120"/>
      <c r="E1" s="121" t="s">
        <v>136</v>
      </c>
      <c r="F1" s="120"/>
      <c r="G1" s="122" t="str">
        <f>IF(COUNTIF($G4:$G10,"OK")=ROWS(A4:A10),"PASS","CHECK")</f>
        <v>PASS</v>
      </c>
    </row>
    <row r="2" spans="1:7" x14ac:dyDescent="0.4">
      <c r="A2" s="5"/>
      <c r="G2" s="6"/>
    </row>
    <row r="3" spans="1:7" ht="15" thickBot="1" x14ac:dyDescent="0.45">
      <c r="A3" s="154" t="s">
        <v>112</v>
      </c>
      <c r="B3" s="155" t="s">
        <v>117</v>
      </c>
      <c r="C3" s="155" t="s">
        <v>120</v>
      </c>
      <c r="D3" s="155" t="s">
        <v>118</v>
      </c>
      <c r="E3" s="155" t="s">
        <v>119</v>
      </c>
      <c r="F3" s="155" t="s">
        <v>124</v>
      </c>
      <c r="G3" s="156" t="s">
        <v>128</v>
      </c>
    </row>
    <row r="4" spans="1:7" ht="21.55" customHeight="1" x14ac:dyDescent="0.4">
      <c r="A4" s="2" t="s">
        <v>113</v>
      </c>
      <c r="B4" s="3" t="s">
        <v>121</v>
      </c>
      <c r="C4" s="145">
        <f>SUM(tbl_rep_mon[net_sales])</f>
        <v>85324654.719999835</v>
      </c>
      <c r="D4" s="145" t="s">
        <v>130</v>
      </c>
      <c r="E4" s="146">
        <v>85324654.719999999</v>
      </c>
      <c r="F4" s="147">
        <f>$C4-$E4</f>
        <v>-1.6391277313232422E-7</v>
      </c>
      <c r="G4" s="4" t="str">
        <f>IF(ABS($F4)&lt;0.05,"OK","CHECK")</f>
        <v>OK</v>
      </c>
    </row>
    <row r="5" spans="1:7" ht="21.55" customHeight="1" x14ac:dyDescent="0.4">
      <c r="A5" s="5" t="s">
        <v>114</v>
      </c>
      <c r="B5" t="s">
        <v>122</v>
      </c>
      <c r="C5">
        <f>COUNT(tbl_rep_mon[region_id])</f>
        <v>1200</v>
      </c>
      <c r="D5" t="s">
        <v>129</v>
      </c>
      <c r="E5" s="124">
        <v>1200</v>
      </c>
      <c r="F5" s="123">
        <f t="shared" ref="F5:F10" si="0">$C5-$E5</f>
        <v>0</v>
      </c>
      <c r="G5" s="6" t="str">
        <f t="shared" ref="G5:G10" si="1">IF(ABS($F5)&lt;0.05,"OK","CHECK")</f>
        <v>OK</v>
      </c>
    </row>
    <row r="6" spans="1:7" ht="21.55" customHeight="1" x14ac:dyDescent="0.4">
      <c r="A6" s="5" t="s">
        <v>115</v>
      </c>
      <c r="B6" s="126" t="s">
        <v>177</v>
      </c>
      <c r="C6" s="37">
        <f>SUM(Overpay!H4:H7)</f>
        <v>5480500</v>
      </c>
      <c r="D6" t="s">
        <v>123</v>
      </c>
      <c r="E6" s="37">
        <f>SUM(tbl_rep_mon[overpay])</f>
        <v>5480500</v>
      </c>
      <c r="F6" s="123">
        <f t="shared" si="0"/>
        <v>0</v>
      </c>
      <c r="G6" s="6" t="str">
        <f t="shared" si="1"/>
        <v>OK</v>
      </c>
    </row>
    <row r="7" spans="1:7" ht="21.55" customHeight="1" x14ac:dyDescent="0.4">
      <c r="A7" s="5" t="s">
        <v>116</v>
      </c>
      <c r="B7" t="s">
        <v>127</v>
      </c>
      <c r="C7" s="37">
        <f>SUM(Scenarios!E3:E7)</f>
        <v>14631350.06195</v>
      </c>
      <c r="D7" s="37" t="s">
        <v>191</v>
      </c>
      <c r="E7" s="37">
        <f>SUM(Commissions!H4:H7)-Overpay!J4</f>
        <v>14631350.061949998</v>
      </c>
      <c r="F7" s="123">
        <f t="shared" si="0"/>
        <v>0</v>
      </c>
      <c r="G7" s="6" t="str">
        <f t="shared" si="1"/>
        <v>OK</v>
      </c>
    </row>
    <row r="8" spans="1:7" ht="21.55" customHeight="1" x14ac:dyDescent="0.4">
      <c r="A8" s="5" t="s">
        <v>100</v>
      </c>
      <c r="B8" t="s">
        <v>126</v>
      </c>
      <c r="C8" s="37">
        <f>SUM(Scenarios!B3:B7)</f>
        <v>42662327.359999999</v>
      </c>
      <c r="D8" t="s">
        <v>125</v>
      </c>
      <c r="E8" s="37">
        <f>SUM(tbl_rep_mon[net_sales])*margin_rate</f>
        <v>42662327.359999917</v>
      </c>
      <c r="F8" s="123">
        <f t="shared" si="0"/>
        <v>8.1956386566162109E-8</v>
      </c>
      <c r="G8" s="6" t="str">
        <f t="shared" si="1"/>
        <v>OK</v>
      </c>
    </row>
    <row r="9" spans="1:7" x14ac:dyDescent="0.4">
      <c r="A9" s="5" t="s">
        <v>165</v>
      </c>
      <c r="B9" s="37" t="s">
        <v>166</v>
      </c>
      <c r="C9" s="37">
        <f>SUM(Quota!C4:F63)</f>
        <v>85324654.719999939</v>
      </c>
      <c r="D9" t="s">
        <v>121</v>
      </c>
      <c r="E9" s="37">
        <f>SUM(tbl_rep_mon[net_sales])</f>
        <v>85324654.719999835</v>
      </c>
      <c r="F9" s="123">
        <f t="shared" si="0"/>
        <v>0</v>
      </c>
      <c r="G9" s="6" t="str">
        <f t="shared" si="1"/>
        <v>OK</v>
      </c>
    </row>
    <row r="10" spans="1:7" ht="15" thickBot="1" x14ac:dyDescent="0.45">
      <c r="A10" s="7" t="s">
        <v>167</v>
      </c>
      <c r="B10" s="8" t="s">
        <v>123</v>
      </c>
      <c r="C10" s="8">
        <f>COUNT(tbl_rep_mon[overpay])</f>
        <v>1200</v>
      </c>
      <c r="D10" s="8" t="s">
        <v>168</v>
      </c>
      <c r="E10" s="8">
        <f>ROWS(tbl_rep_mon[rep_id])</f>
        <v>1200</v>
      </c>
      <c r="F10" s="125">
        <f t="shared" si="0"/>
        <v>0</v>
      </c>
      <c r="G10" s="9" t="str">
        <f t="shared" si="1"/>
        <v>OK</v>
      </c>
    </row>
  </sheetData>
  <conditionalFormatting sqref="G1">
    <cfRule type="containsText" dxfId="2" priority="1" operator="containsText" text="CHECK">
      <formula>NOT(ISERROR(SEARCH("CHECK",G1)))</formula>
    </cfRule>
    <cfRule type="containsText" dxfId="1" priority="6" operator="containsText" text="PASS">
      <formula>NOT(ISERROR(SEARCH("PASS",G1)))</formula>
    </cfRule>
  </conditionalFormatting>
  <conditionalFormatting sqref="G4:G10">
    <cfRule type="containsText" dxfId="0" priority="2" operator="containsText" text="CHECK">
      <formula>NOT(ISERROR(SEARCH("CHECK",G4)))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0C4B-AA00-43A6-815C-28B9CF92602B}">
  <dimension ref="D4:O47"/>
  <sheetViews>
    <sheetView tabSelected="1" topLeftCell="A22" zoomScale="79" zoomScaleNormal="59" workbookViewId="0">
      <selection activeCell="L24" sqref="L24"/>
    </sheetView>
  </sheetViews>
  <sheetFormatPr defaultRowHeight="14.6" x14ac:dyDescent="0.4"/>
  <cols>
    <col min="12" max="12" width="14" customWidth="1"/>
    <col min="13" max="13" width="17.69140625" customWidth="1"/>
    <col min="14" max="15" width="14" customWidth="1"/>
  </cols>
  <sheetData>
    <row r="4" spans="4:12" ht="15.9" x14ac:dyDescent="0.45">
      <c r="D4" s="161"/>
      <c r="L4" t="s">
        <v>188</v>
      </c>
    </row>
    <row r="5" spans="4:12" x14ac:dyDescent="0.4">
      <c r="K5">
        <v>2021</v>
      </c>
      <c r="L5" s="37">
        <f>Overpay!B8</f>
        <v>642125</v>
      </c>
    </row>
    <row r="6" spans="4:12" x14ac:dyDescent="0.4">
      <c r="K6">
        <v>2022</v>
      </c>
      <c r="L6" s="37">
        <f>Overpay!C8</f>
        <v>849375</v>
      </c>
    </row>
    <row r="7" spans="4:12" x14ac:dyDescent="0.4">
      <c r="K7">
        <v>2023</v>
      </c>
      <c r="L7" s="37">
        <f>Overpay!D8</f>
        <v>1077250</v>
      </c>
    </row>
    <row r="8" spans="4:12" x14ac:dyDescent="0.4">
      <c r="K8">
        <v>2024</v>
      </c>
      <c r="L8" s="37">
        <f>Overpay!E8</f>
        <v>1339375</v>
      </c>
    </row>
    <row r="9" spans="4:12" x14ac:dyDescent="0.4">
      <c r="K9">
        <v>2025</v>
      </c>
      <c r="L9" s="37">
        <f>Overpay!F8</f>
        <v>1572375</v>
      </c>
    </row>
    <row r="23" spans="11:15" x14ac:dyDescent="0.4">
      <c r="L23" t="s">
        <v>202</v>
      </c>
      <c r="M23" t="s">
        <v>190</v>
      </c>
      <c r="N23" t="s">
        <v>102</v>
      </c>
      <c r="O23" t="s">
        <v>187</v>
      </c>
    </row>
    <row r="24" spans="11:15" x14ac:dyDescent="0.4">
      <c r="K24">
        <v>2021</v>
      </c>
      <c r="L24" s="162">
        <f>Scenarios!B13</f>
        <v>0.40565589449793726</v>
      </c>
      <c r="M24" s="162">
        <f>Scenarios!C13</f>
        <v>0.40565589449793726</v>
      </c>
      <c r="N24" s="162">
        <f>Scenarios!D13</f>
        <v>0.3079255130392996</v>
      </c>
      <c r="O24" s="35">
        <f>warning_level</f>
        <v>0.45</v>
      </c>
    </row>
    <row r="25" spans="11:15" x14ac:dyDescent="0.4">
      <c r="K25">
        <v>2022</v>
      </c>
      <c r="L25" s="162">
        <f>Scenarios!B14</f>
        <v>0.43750424755414352</v>
      </c>
      <c r="M25" s="162">
        <f>Scenarios!C14</f>
        <v>0.4031321847065526</v>
      </c>
      <c r="N25" s="162">
        <f>Scenarios!D14</f>
        <v>0.32200407425594968</v>
      </c>
      <c r="O25" s="35">
        <f>warning_level</f>
        <v>0.45</v>
      </c>
    </row>
    <row r="26" spans="11:15" x14ac:dyDescent="0.4">
      <c r="K26">
        <v>2023</v>
      </c>
      <c r="L26" s="162">
        <f>Scenarios!B15</f>
        <v>0.463738600704521</v>
      </c>
      <c r="M26" s="162">
        <f>Scenarios!C15</f>
        <v>0.39779307643700412</v>
      </c>
      <c r="N26" s="162">
        <f>Scenarios!D15</f>
        <v>0.33690980832652778</v>
      </c>
      <c r="O26" s="35">
        <f>warning_level</f>
        <v>0.45</v>
      </c>
    </row>
    <row r="27" spans="11:15" x14ac:dyDescent="0.4">
      <c r="K27">
        <v>2024</v>
      </c>
      <c r="L27" s="162">
        <f>Scenarios!B16</f>
        <v>0.49538048230178144</v>
      </c>
      <c r="M27" s="162">
        <f>Scenarios!C16</f>
        <v>0.39766491462171283</v>
      </c>
      <c r="N27" s="162">
        <f>Scenarios!D16</f>
        <v>0.35547018608264735</v>
      </c>
      <c r="O27" s="35">
        <f>warning_level</f>
        <v>0.45</v>
      </c>
    </row>
    <row r="28" spans="11:15" x14ac:dyDescent="0.4">
      <c r="K28">
        <v>2025</v>
      </c>
      <c r="L28" s="162">
        <f>Scenarios!B17</f>
        <v>0.51990084365038514</v>
      </c>
      <c r="M28" s="162">
        <f>Scenarios!C17</f>
        <v>0.39402613151740828</v>
      </c>
      <c r="N28" s="162">
        <f>Scenarios!D17</f>
        <v>0.37255383397439273</v>
      </c>
      <c r="O28" s="35">
        <f>warning_level</f>
        <v>0.45</v>
      </c>
    </row>
    <row r="42" spans="11:13" x14ac:dyDescent="0.4">
      <c r="L42" t="s">
        <v>189</v>
      </c>
      <c r="M42" t="s">
        <v>100</v>
      </c>
    </row>
    <row r="43" spans="11:13" x14ac:dyDescent="0.4">
      <c r="K43">
        <v>2021</v>
      </c>
      <c r="L43" s="163">
        <f>(Scenarios!C3/Scenarios!C3)</f>
        <v>1</v>
      </c>
      <c r="M43" s="163">
        <f>(SUMIFS(tbl_rep_mon[margin_dollars],tbl_rep_mon[year],$K43)/SUMIFS(tbl_rep_mon[margin_dollars],tbl_rep_mon[year],$K43))</f>
        <v>1</v>
      </c>
    </row>
    <row r="44" spans="11:13" x14ac:dyDescent="0.4">
      <c r="K44">
        <v>2022</v>
      </c>
      <c r="L44" s="163">
        <f>(Scenarios!C4/Scenarios!C3)</f>
        <v>1.2071224755211394</v>
      </c>
      <c r="M44" s="163">
        <f>(SUMIFS(tbl_rep_mon[margin_dollars],tbl_rep_mon[year],$K44)/SUMIFS(tbl_rep_mon[margin_dollars],tbl_rep_mon[year],$K43))</f>
        <v>1.1192493565802284</v>
      </c>
    </row>
    <row r="45" spans="11:13" x14ac:dyDescent="0.4">
      <c r="K45">
        <v>2023</v>
      </c>
      <c r="L45" s="163">
        <f>(Scenarios!C5/Scenarios!C3)</f>
        <v>1.4778287695178407</v>
      </c>
      <c r="M45" s="163">
        <f>(SUMIFS(tbl_rep_mon[margin_dollars],tbl_rep_mon[year],$K45)/SUMIFS(tbl_rep_mon[margin_dollars],tbl_rep_mon[year],$K43))</f>
        <v>1.2927324801144189</v>
      </c>
    </row>
    <row r="46" spans="11:13" x14ac:dyDescent="0.4">
      <c r="K46">
        <v>2024</v>
      </c>
      <c r="L46" s="163">
        <f>(Scenarios!C6/Scenarios!C3)</f>
        <v>1.779277259230599</v>
      </c>
      <c r="M46" s="163">
        <f>(SUMIFS(tbl_rep_mon[margin_dollars],tbl_rep_mon[year],$K46)/SUMIFS(tbl_rep_mon[margin_dollars],tbl_rep_mon[year],$K43))</f>
        <v>1.4570099831129968</v>
      </c>
    </row>
    <row r="47" spans="11:13" x14ac:dyDescent="0.4">
      <c r="K47">
        <v>2025</v>
      </c>
      <c r="L47" s="163">
        <f>(Scenarios!C7/Scenarios!C3)</f>
        <v>2.0815533675733779</v>
      </c>
      <c r="M47" s="163">
        <f>(SUMIFS(tbl_rep_mon[margin_dollars],tbl_rep_mon[year],$K47)/SUMIFS(tbl_rep_mon[margin_dollars],tbl_rep_mon[year],$K43))</f>
        <v>1.6241450722399626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Assumptions</vt:lpstr>
      <vt:lpstr>Rep_month</vt:lpstr>
      <vt:lpstr>Sales and margins</vt:lpstr>
      <vt:lpstr>Commissions</vt:lpstr>
      <vt:lpstr>Overpay</vt:lpstr>
      <vt:lpstr>Quota</vt:lpstr>
      <vt:lpstr>Cliff exposure</vt:lpstr>
      <vt:lpstr>Scenarios</vt:lpstr>
      <vt:lpstr>Checks</vt:lpstr>
      <vt:lpstr>Charts</vt:lpstr>
      <vt:lpstr>margin_rate</vt:lpstr>
      <vt:lpstr>max_rate</vt:lpstr>
      <vt:lpstr>region</vt:lpstr>
      <vt:lpstr>seeding</vt:lpstr>
      <vt:lpstr>step</vt:lpstr>
      <vt:lpstr>target</vt:lpstr>
      <vt:lpstr>tier_floor</vt:lpstr>
      <vt:lpstr>tier_rate</vt:lpstr>
      <vt:lpstr>warning_level</vt:lpstr>
      <vt:lpstr>Within_reach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Glenn</cp:lastModifiedBy>
  <dcterms:created xsi:type="dcterms:W3CDTF">2026-10-27T03:19:25Z</dcterms:created>
  <dcterms:modified xsi:type="dcterms:W3CDTF">2026-10-28T15:08:50Z</dcterms:modified>
</cp:coreProperties>
</file>